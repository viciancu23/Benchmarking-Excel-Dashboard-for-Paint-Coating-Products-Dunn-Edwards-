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drawings/drawing4.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faed9d3f40c36664/Desktop/Final Dashboard Project/"/>
    </mc:Choice>
  </mc:AlternateContent>
  <xr:revisionPtr revIDLastSave="111" documentId="8_{6AEBE33B-E76F-4E1C-A756-4A26807A83CE}" xr6:coauthVersionLast="47" xr6:coauthVersionMax="47" xr10:uidLastSave="{A68E5212-61EC-421B-A54F-011B5F47A56A}"/>
  <bookViews>
    <workbookView xWindow="28680" yWindow="-120" windowWidth="29040" windowHeight="15720" activeTab="3" xr2:uid="{D8311FD3-5C81-4058-9D0A-477B1AFF0E1A}"/>
  </bookViews>
  <sheets>
    <sheet name="Home" sheetId="4" r:id="rId1"/>
    <sheet name="Products" sheetId="1" r:id="rId2"/>
    <sheet name="Testing" sheetId="2" r:id="rId3"/>
    <sheet name="WeatheringGrid" sheetId="3" r:id="rId4"/>
  </sheets>
  <definedNames>
    <definedName name="ExternalData_1" localSheetId="1" hidden="1">Products!$A$25:$L$34</definedName>
    <definedName name="ExternalData_1" localSheetId="2" hidden="1">Testing!$A$24:$I$82</definedName>
    <definedName name="ExternalData_1" localSheetId="3" hidden="1">WeatheringGrid!$A$15:$O$33</definedName>
    <definedName name="ExternalData_3" localSheetId="1" hidden="1">Products!$A$25:$O$51</definedName>
    <definedName name="FromArray_1">_xlfn.ANCHORARRAY(Products!$F$70)</definedName>
    <definedName name="Slicer_Application">#N/A</definedName>
    <definedName name="Slicer_ASTM">#N/A</definedName>
    <definedName name="Slicer_Brand">#N/A</definedName>
    <definedName name="Slicer_Color">#N/A</definedName>
    <definedName name="Slicer_Performance">#N/A</definedName>
    <definedName name="Slicer_Property">#N/A</definedName>
    <definedName name="Slicer_Property1">#N/A</definedName>
    <definedName name="Slicer_Purchase_Year">#N/A</definedName>
    <definedName name="Slicer_Sample_ID">#N/A</definedName>
    <definedName name="Slicer_Sheen">#N/A</definedName>
    <definedName name="Slicer_Test">#N/A</definedName>
    <definedName name="Slicer_Test_Name">#N/A</definedName>
    <definedName name="Slicer_Test_Name1">#N/A</definedName>
    <definedName name="Slicer_Time">#N/A</definedName>
    <definedName name="Slicer_Time1">#N/A</definedName>
    <definedName name="Slicer_Unique_Product_Name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1" i="3" l="1" a="1"/>
  <c r="U21" i="3" s="1"/>
  <c r="U17" i="3" a="1"/>
  <c r="U17" i="3" s="1"/>
  <c r="S16" i="3"/>
  <c r="V16" i="3" s="1" a="1"/>
  <c r="V16" i="3" s="1"/>
  <c r="S17" i="3"/>
  <c r="V17" i="3" s="1" a="1"/>
  <c r="V17" i="3" s="1"/>
  <c r="S18" i="3"/>
  <c r="V18" i="3" s="1" a="1"/>
  <c r="V18" i="3" s="1"/>
  <c r="S19" i="3"/>
  <c r="V19" i="3" s="1" a="1"/>
  <c r="V19" i="3" s="1"/>
  <c r="V22" i="3" a="1"/>
  <c r="V22" i="3" s="1"/>
  <c r="V23" i="3" a="1"/>
  <c r="V23" i="3" s="1"/>
  <c r="V24" i="3" a="1"/>
  <c r="V24" i="3" s="1"/>
  <c r="S25" i="3"/>
  <c r="V25" i="3" s="1" a="1"/>
  <c r="V25" i="3" s="1"/>
  <c r="S26" i="3"/>
  <c r="V26" i="3" s="1" a="1"/>
  <c r="V26" i="3" s="1"/>
  <c r="S27" i="3"/>
  <c r="V27" i="3" s="1" a="1"/>
  <c r="V27" i="3" s="1"/>
  <c r="S28" i="3"/>
  <c r="V28" i="3" s="1" a="1"/>
  <c r="V28" i="3" s="1"/>
  <c r="S29" i="3"/>
  <c r="V29" i="3" s="1" a="1"/>
  <c r="V29" i="3" s="1"/>
  <c r="S30" i="3"/>
  <c r="V30" i="3" s="1" a="1"/>
  <c r="V30" i="3" s="1"/>
  <c r="S31" i="3"/>
  <c r="V31" i="3" s="1" a="1"/>
  <c r="V31" i="3" s="1"/>
  <c r="S32" i="3"/>
  <c r="V32" i="3" s="1" a="1"/>
  <c r="V32" i="3" s="1"/>
  <c r="S33" i="3"/>
  <c r="V33" i="3" s="1" a="1"/>
  <c r="V33" i="3" s="1"/>
  <c r="U16" i="3" a="1"/>
  <c r="U16" i="3" s="1"/>
  <c r="U18" i="3" a="1"/>
  <c r="U18" i="3" s="1"/>
  <c r="U19" i="3" a="1"/>
  <c r="U19" i="3" s="1"/>
  <c r="U20" i="3" a="1"/>
  <c r="U20" i="3" s="1"/>
  <c r="U22" i="3" a="1"/>
  <c r="U22" i="3" s="1"/>
  <c r="U23" i="3" a="1"/>
  <c r="U23" i="3"/>
  <c r="U24" i="3" a="1"/>
  <c r="U24" i="3" s="1"/>
  <c r="U25" i="3" a="1"/>
  <c r="U25" i="3" s="1"/>
  <c r="U26" i="3" a="1"/>
  <c r="U26" i="3" s="1"/>
  <c r="U27" i="3" a="1"/>
  <c r="U27" i="3"/>
  <c r="U28" i="3" a="1"/>
  <c r="U28" i="3" s="1"/>
  <c r="U29" i="3" a="1"/>
  <c r="U29" i="3" s="1"/>
  <c r="U30" i="3" a="1"/>
  <c r="U30" i="3" s="1"/>
  <c r="U31" i="3" a="1"/>
  <c r="U31" i="3" s="1"/>
  <c r="U32" i="3" a="1"/>
  <c r="U32" i="3" s="1"/>
  <c r="U33" i="3" a="1"/>
  <c r="U33" i="3" s="1"/>
  <c r="V20" i="3" a="1"/>
  <c r="V20" i="3" s="1"/>
  <c r="V21" i="3" a="1"/>
  <c r="V21" i="3" s="1"/>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P26" i="1" l="1"/>
  <c r="P27" i="1"/>
  <c r="P28" i="1"/>
  <c r="P29" i="1"/>
  <c r="P30" i="1"/>
  <c r="P31" i="1"/>
  <c r="P32" i="1"/>
  <c r="P33" i="1"/>
  <c r="P34" i="1"/>
  <c r="P35" i="1"/>
  <c r="P36" i="1"/>
  <c r="P37" i="1"/>
  <c r="P38" i="1"/>
  <c r="P39" i="1"/>
  <c r="P40" i="1"/>
  <c r="P41" i="1"/>
  <c r="P42" i="1"/>
  <c r="P43" i="1"/>
  <c r="P44" i="1"/>
  <c r="P45" i="1"/>
  <c r="P46" i="1"/>
  <c r="P47" i="1"/>
  <c r="P48" i="1"/>
  <c r="P49" i="1"/>
  <c r="P50" i="1"/>
  <c r="P51" i="1"/>
  <c r="AJ12" i="2"/>
  <c r="AJ13" i="2"/>
  <c r="AJ14" i="2"/>
  <c r="AJ15" i="2"/>
  <c r="AJ16" i="2"/>
  <c r="AJ17" i="2"/>
  <c r="AJ18" i="2"/>
  <c r="AJ19" i="2"/>
  <c r="AJ20" i="2"/>
  <c r="AJ21" i="2"/>
  <c r="AJ22" i="2"/>
  <c r="AJ23" i="2"/>
  <c r="AJ24" i="2"/>
  <c r="AJ25" i="2"/>
  <c r="AJ26" i="2"/>
  <c r="AJ27" i="2"/>
  <c r="AJ28" i="2"/>
  <c r="AJ29" i="2"/>
  <c r="AJ30" i="2"/>
  <c r="AJ31" i="2"/>
  <c r="AJ32" i="2"/>
  <c r="AJ33" i="2"/>
  <c r="AJ35" i="2"/>
  <c r="AJ37" i="2"/>
  <c r="AJ39" i="2"/>
  <c r="AJ41" i="2"/>
  <c r="AJ43" i="2"/>
  <c r="AJ45" i="2"/>
  <c r="AJ47" i="2"/>
  <c r="AJ49" i="2"/>
  <c r="AJ51" i="2"/>
  <c r="AJ5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149A1B-6D9C-41BC-BEBA-2D30AC4C3FA8}" keepAlive="1" name="Query - BenchmarkGrid" description="Connection to the 'BenchmarkGrid' query in the workbook." type="5" refreshedVersion="0" background="1">
    <dbPr connection="Provider=Microsoft.Mashup.OleDb.1;Data Source=$Workbook$;Location=BenchmarkGrid;Extended Properties=&quot;&quot;" command="SELECT * FROM [BenchmarkGrid]"/>
  </connection>
  <connection id="2" xr16:uid="{61D22A30-40E6-41CC-89A9-1258ABA1F8DE}" keepAlive="1" name="Query - Column Names" description="Connection to the 'Column Names' query in the workbook." type="5" refreshedVersion="8" background="1" saveData="1">
    <dbPr connection="Provider=Microsoft.Mashup.OleDb.1;Data Source=$Workbook$;Location=&quot;Column Names&quot;;Extended Properties=&quot;&quot;" command="SELECT * FROM [Column Names]"/>
  </connection>
  <connection id="3" xr16:uid="{5C6F41EF-4EEB-4DBC-8537-EBCB1C316F22}" keepAlive="1" name="Query - FinalBenchmarkGrid" description="Connection to the 'FinalBenchmarkGrid' query in the workbook." type="5" refreshedVersion="8" background="1" saveData="1">
    <dbPr connection="Provider=Microsoft.Mashup.OleDb.1;Data Source=$Workbook$;Location=FinalBenchmarkGrid;Extended Properties=&quot;&quot;" command="SELECT * FROM [FinalBenchmarkGrid]"/>
  </connection>
  <connection id="4" xr16:uid="{EA288913-9E27-4807-96F8-08DF31ECC3CE}" keepAlive="1" name="Query - FinalTestGrid" description="Connection to the 'FinalTestGrid' query in the workbook." type="5" refreshedVersion="8" background="1" saveData="1">
    <dbPr connection="Provider=Microsoft.Mashup.OleDb.1;Data Source=$Workbook$;Location=FinalTestGrid;Extended Properties=&quot;&quot;" command="SELECT * FROM [FinalTestGrid]"/>
  </connection>
  <connection id="5" xr16:uid="{70DFE11A-5914-44D3-A53C-5CE3A8FC127E}" keepAlive="1" name="Query - PDL Number" description="Connection to the 'PDL Number' query in the workbook." type="5" refreshedVersion="8" background="1" saveData="1">
    <dbPr connection="Provider=Microsoft.Mashup.OleDb.1;Data Source=$Workbook$;Location=&quot;PDL Number&quot;;Extended Properties=&quot;&quot;" command="SELECT * FROM [PDL Number]"/>
  </connection>
  <connection id="6" xr16:uid="{CA2B441A-8261-43F5-B13E-578E2495E8B3}" keepAlive="1" name="Query - ProductDatabase(1)" description="Connection to the 'ProductDatabase' query in the workbook." type="5" refreshedVersion="8" background="1" saveData="1">
    <dbPr connection="Provider=Microsoft.Mashup.OleDb.1;Data Source=$Workbook$;Location=ProductDatabase;Extended Properties=&quot;&quot;" command="SELECT * FROM [ProductDatabase]"/>
  </connection>
  <connection id="7" xr16:uid="{789A906D-502F-486D-AD5B-A4BDBC1C5553}" keepAlive="1" name="Query - TestDirectoryGrid" description="Connection to the 'TestDirectoryGrid' query in the workbook." type="5" refreshedVersion="0" background="1">
    <dbPr connection="Provider=Microsoft.Mashup.OleDb.1;Data Source=$Workbook$;Location=TestDirectoryGrid;Extended Properties=&quot;&quot;" command="SELECT * FROM [TestDirectoryGrid]"/>
  </connection>
  <connection id="8" xr16:uid="{21A420A3-70BB-49B5-9C18-94709260F9E0}" keepAlive="1" name="Query - WeatheringTestDirectory" description="Connection to the 'WeatheringTestDirectory' query in the workbook." type="5" refreshedVersion="8" background="1" saveData="1">
    <dbPr connection="Provider=Microsoft.Mashup.OleDb.1;Data Source=$Workbook$;Location=WeatheringTestDirectory;Extended Properties=&quot;&quot;" command="SELECT * FROM [WeatheringTestDirecto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<sst xmlns="http://schemas.openxmlformats.org/spreadsheetml/2006/main" count="901" uniqueCount="217">
  <si>
    <t>PPG</t>
  </si>
  <si>
    <t>DE</t>
  </si>
  <si>
    <t>BEHR</t>
  </si>
  <si>
    <t>Brand</t>
  </si>
  <si>
    <t>Product</t>
  </si>
  <si>
    <t>Performance</t>
  </si>
  <si>
    <t>High</t>
  </si>
  <si>
    <t>Sheen</t>
  </si>
  <si>
    <t>Color</t>
  </si>
  <si>
    <t>Flat</t>
  </si>
  <si>
    <t>White</t>
  </si>
  <si>
    <t>Application</t>
  </si>
  <si>
    <t>Interior</t>
  </si>
  <si>
    <t>Test Name</t>
  </si>
  <si>
    <t>Purchase Year</t>
  </si>
  <si>
    <t>P1</t>
  </si>
  <si>
    <t>Swiss Coffee</t>
  </si>
  <si>
    <t>PDL ID</t>
  </si>
  <si>
    <t>Sample ID</t>
  </si>
  <si>
    <t>PDL Category</t>
  </si>
  <si>
    <t>Base</t>
  </si>
  <si>
    <t>P2</t>
  </si>
  <si>
    <t>P3</t>
  </si>
  <si>
    <t>Bond ID</t>
  </si>
  <si>
    <t>Weathered Brown</t>
  </si>
  <si>
    <t>Everest</t>
  </si>
  <si>
    <t>Untinted</t>
  </si>
  <si>
    <t>Manor Hall</t>
  </si>
  <si>
    <t>i300</t>
  </si>
  <si>
    <t>Deep</t>
  </si>
  <si>
    <t>Light</t>
  </si>
  <si>
    <t>BEHR-i300-Flat-White-2025</t>
  </si>
  <si>
    <t>DE-Everest-Flat-Weathered Brown-2025</t>
  </si>
  <si>
    <t>PPG-Manor Hall-Flat-Swiss Coffee-2025</t>
  </si>
  <si>
    <t>Unique Product Name</t>
  </si>
  <si>
    <t>BEHR-i300-Flat-Swiss Coffee-2025</t>
  </si>
  <si>
    <t>BEHR-i300-Flat-Weathered Brown-2025</t>
  </si>
  <si>
    <t>DE-Everest-Flat-Swiss Coffee-2025</t>
  </si>
  <si>
    <t>PPG-Manor Hall-Flat-Weathered Brown-2025</t>
  </si>
  <si>
    <t>PPG-Manor Hall-Flat-White-2025</t>
  </si>
  <si>
    <t>Product ID</t>
  </si>
  <si>
    <t>P5</t>
  </si>
  <si>
    <t>P6</t>
  </si>
  <si>
    <t>P7</t>
  </si>
  <si>
    <t>P8</t>
  </si>
  <si>
    <t>P9</t>
  </si>
  <si>
    <t>P10</t>
  </si>
  <si>
    <t>Base Sort</t>
  </si>
  <si>
    <t>Visible</t>
  </si>
  <si>
    <t>P11</t>
  </si>
  <si>
    <t>Merged</t>
  </si>
  <si>
    <t>BM</t>
  </si>
  <si>
    <t>BMP-1</t>
  </si>
  <si>
    <t>BM-BMP-1-Flat-Swiss Coffee-2025</t>
  </si>
  <si>
    <t>P12</t>
  </si>
  <si>
    <t>BMP-2</t>
  </si>
  <si>
    <t>BM-BMP-2-Flat-Weathered Brown-2025</t>
  </si>
  <si>
    <t>P13</t>
  </si>
  <si>
    <t>Valspar</t>
  </si>
  <si>
    <t>ValP-1</t>
  </si>
  <si>
    <t>Valspar-ValP-1-Flat-Swiss Coffee-2025</t>
  </si>
  <si>
    <t>P14</t>
  </si>
  <si>
    <t>ValP-2</t>
  </si>
  <si>
    <t>Valspar-ValP-2-Flat-Weathered Brown-2025</t>
  </si>
  <si>
    <t>P15</t>
  </si>
  <si>
    <t>QSUN</t>
  </si>
  <si>
    <t>Weathering ID</t>
  </si>
  <si>
    <t>W1</t>
  </si>
  <si>
    <t>QUV</t>
  </si>
  <si>
    <t>ASTM</t>
  </si>
  <si>
    <t>Test</t>
  </si>
  <si>
    <t>Time</t>
  </si>
  <si>
    <t>Time Unit</t>
  </si>
  <si>
    <t>hours</t>
  </si>
  <si>
    <t>Coats</t>
  </si>
  <si>
    <t>W2</t>
  </si>
  <si>
    <t>W3</t>
  </si>
  <si>
    <t>W4</t>
  </si>
  <si>
    <t>W5</t>
  </si>
  <si>
    <t>W6</t>
  </si>
  <si>
    <t>W7</t>
  </si>
  <si>
    <t>W8</t>
  </si>
  <si>
    <t>W9</t>
  </si>
  <si>
    <t>W10</t>
  </si>
  <si>
    <t>W11</t>
  </si>
  <si>
    <t>W12</t>
  </si>
  <si>
    <t>W13</t>
  </si>
  <si>
    <t>W14</t>
  </si>
  <si>
    <t>W15</t>
  </si>
  <si>
    <t>W16</t>
  </si>
  <si>
    <t>W17</t>
  </si>
  <si>
    <t>W18</t>
  </si>
  <si>
    <t>W19</t>
  </si>
  <si>
    <t>W20</t>
  </si>
  <si>
    <t>Substrate</t>
  </si>
  <si>
    <t>Primed Aluminum 3 x 6</t>
  </si>
  <si>
    <t>Property</t>
  </si>
  <si>
    <t>Gloss-20</t>
  </si>
  <si>
    <t>Initial Value</t>
  </si>
  <si>
    <t>Exposure Value</t>
  </si>
  <si>
    <t>Rating</t>
  </si>
  <si>
    <t>Color Change E</t>
  </si>
  <si>
    <t>W21</t>
  </si>
  <si>
    <t>Panel Prep Operator</t>
  </si>
  <si>
    <t>Readings Operator</t>
  </si>
  <si>
    <t>Device ID</t>
  </si>
  <si>
    <t>Exposure Equipment ID</t>
  </si>
  <si>
    <t>W22</t>
  </si>
  <si>
    <t>months</t>
  </si>
  <si>
    <t>W23</t>
  </si>
  <si>
    <t>Primed Pine</t>
  </si>
  <si>
    <t>Natural -45</t>
  </si>
  <si>
    <t>W24</t>
  </si>
  <si>
    <t>Natural - HZ</t>
  </si>
  <si>
    <t>W25</t>
  </si>
  <si>
    <t>Start of Exposure</t>
  </si>
  <si>
    <t>End of Exposure</t>
  </si>
  <si>
    <t>Accelerated Weathering</t>
  </si>
  <si>
    <t>QUV - A - 444-1</t>
  </si>
  <si>
    <t>QSUN - 222-1</t>
  </si>
  <si>
    <t>Natural -45-1</t>
  </si>
  <si>
    <t>Natural - HZ-1</t>
  </si>
  <si>
    <t>W26</t>
  </si>
  <si>
    <t>W27</t>
  </si>
  <si>
    <t>W28</t>
  </si>
  <si>
    <t>W29</t>
  </si>
  <si>
    <t>W30</t>
  </si>
  <si>
    <t>W31</t>
  </si>
  <si>
    <t>W32</t>
  </si>
  <si>
    <t>W33</t>
  </si>
  <si>
    <t>W34</t>
  </si>
  <si>
    <t>W35</t>
  </si>
  <si>
    <t>W36</t>
  </si>
  <si>
    <t>W37</t>
  </si>
  <si>
    <t>W38</t>
  </si>
  <si>
    <t>W39</t>
  </si>
  <si>
    <t>W40</t>
  </si>
  <si>
    <t>W41</t>
  </si>
  <si>
    <t>W0</t>
  </si>
  <si>
    <t>Duplicate?</t>
  </si>
  <si>
    <t>Sort Position</t>
  </si>
  <si>
    <t>WPG</t>
  </si>
  <si>
    <t>Weight Solids</t>
  </si>
  <si>
    <t>No</t>
  </si>
  <si>
    <t>Weathering - Dark Blue</t>
  </si>
  <si>
    <t>BEHR-i300-Flat-Weathering - Dark Blue-2025</t>
  </si>
  <si>
    <t>P4</t>
  </si>
  <si>
    <t>BM-BMP-1-Flat-Weathering - Dark Blue-2025</t>
  </si>
  <si>
    <t>BM-BMP-2-Flat-Weathering - Dark Blue-2025</t>
  </si>
  <si>
    <t>PPG-Manor Hall-Flat-Weathering - Dark Blue-2025</t>
  </si>
  <si>
    <t>Valspar-ValP-1-Flat-Weathering - Dark Blue-2025</t>
  </si>
  <si>
    <t>Valspar-ValP-2-Flat-Weathering - Dark Blue-2025</t>
  </si>
  <si>
    <t>P16</t>
  </si>
  <si>
    <t>Evershield</t>
  </si>
  <si>
    <t>Exterior</t>
  </si>
  <si>
    <t>Gloss</t>
  </si>
  <si>
    <t>DE-Evershield-Gloss-Weathering - Dark Blue-2024</t>
  </si>
  <si>
    <t>P17</t>
  </si>
  <si>
    <t>DE-Evershield-Gloss-White-2024</t>
  </si>
  <si>
    <t>P18</t>
  </si>
  <si>
    <t>DE-Evershield-Gloss-Swiss Coffee-2024</t>
  </si>
  <si>
    <t>P19</t>
  </si>
  <si>
    <t>DE-Evershield-Gloss-Weathered Brown-2024</t>
  </si>
  <si>
    <t>P20</t>
  </si>
  <si>
    <t>DE-Everest-Flat-Weathering - Dark Blue-2025</t>
  </si>
  <si>
    <t>P21</t>
  </si>
  <si>
    <t>P22</t>
  </si>
  <si>
    <t>P23</t>
  </si>
  <si>
    <t>Blood Red</t>
  </si>
  <si>
    <t>DE-Everest-Flat-Blood Red-2023</t>
  </si>
  <si>
    <t>P24</t>
  </si>
  <si>
    <t>BEHR-i300-Flat-Blood Red-2025</t>
  </si>
  <si>
    <t>P25</t>
  </si>
  <si>
    <t>Duramax</t>
  </si>
  <si>
    <t>Valspar-Duramax-Gloss-Weathering - Dark Blue-2025</t>
  </si>
  <si>
    <t>P26</t>
  </si>
  <si>
    <t>Preparation Date</t>
  </si>
  <si>
    <t>W42</t>
  </si>
  <si>
    <t>W43</t>
  </si>
  <si>
    <t>W44</t>
  </si>
  <si>
    <t>W45</t>
  </si>
  <si>
    <t>W46</t>
  </si>
  <si>
    <t>W47</t>
  </si>
  <si>
    <t>W48</t>
  </si>
  <si>
    <t>W49</t>
  </si>
  <si>
    <t>W50</t>
  </si>
  <si>
    <t>W51</t>
  </si>
  <si>
    <t>W52</t>
  </si>
  <si>
    <t>W53</t>
  </si>
  <si>
    <t>W54</t>
  </si>
  <si>
    <t>W55</t>
  </si>
  <si>
    <t>W56</t>
  </si>
  <si>
    <t>W57</t>
  </si>
  <si>
    <t>Step Change in Value</t>
  </si>
  <si>
    <t>Net Change</t>
  </si>
  <si>
    <t>PDL-23-00111</t>
  </si>
  <si>
    <t>Weathering Testing Template</t>
  </si>
  <si>
    <t>23-00111-1</t>
  </si>
  <si>
    <t>23-00111-2</t>
  </si>
  <si>
    <t>23-00111-1-W11</t>
  </si>
  <si>
    <t>23-00111-1-W12</t>
  </si>
  <si>
    <t>23-00111-1-W13</t>
  </si>
  <si>
    <t>23-00111-1-W14</t>
  </si>
  <si>
    <t>23-00111-1-W0</t>
  </si>
  <si>
    <t>23-00111-1-W1</t>
  </si>
  <si>
    <t>23-00111-1-W2</t>
  </si>
  <si>
    <t>23-00111-1-W3</t>
  </si>
  <si>
    <t>23-00111-1-W4</t>
  </si>
  <si>
    <t>23-00111-2-W11</t>
  </si>
  <si>
    <t>23-00111-2-W12</t>
  </si>
  <si>
    <t>23-00111-2-W13</t>
  </si>
  <si>
    <t>23-00111-2-W14</t>
  </si>
  <si>
    <t>23-00111-2-W0</t>
  </si>
  <si>
    <t>23-00111-2-W1</t>
  </si>
  <si>
    <t>23-00111-2-W2</t>
  </si>
  <si>
    <t>23-00111-2-W3</t>
  </si>
  <si>
    <t>23-00111-2-W4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</si>
</sst>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Aptos Narrow"/>
      <family val="2"/>
      <scheme val="minor"/>
    </font>
    <font>
      <b/>
      <sz val="11"/>
      <color theme="1"/>
      <name val="Aptos Narrow"/>
      <family val="2"/>
      <scheme val="minor"/>
    </font>
    <font>
      <sz val="8"/>
      <name val="Aptos Narrow"/>
      <family val="2"/>
      <scheme val="minor"/>
    </font>
    <font>
      <sz val="12"/>
      <color theme="1"/>
      <name val="Aptos Narrow"/>
      <family val="2"/>
      <scheme val="minor"/>
    </font>
    <font>
      <sz val="20"/>
      <color theme="1"/>
      <name val="Aptos Narrow"/>
      <family val="2"/>
      <scheme val="minor"/>
    </font>
    <font>
      <sz val="48"/>
      <color theme="1"/>
      <name val="Aptos Narrow"/>
      <family val="2"/>
      <scheme val="minor"/>
    </font>
    <font>
      <sz val="20"/>
      <color rgb="FF000000"/>
      <name val="Aptos Narrow"/>
      <family val="2"/>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249977111117893"/>
        <bgColor indexed="64"/>
      </patternFill>
    </fill>
    <fill>
      <patternFill patternType="solid">
        <fgColor theme="2" tint="-0.249977111117893"/>
        <bgColor indexed="64"/>
      </patternFill>
    </fill>
    <fill>
      <patternFill patternType="solid">
        <fgColor theme="5"/>
        <bgColor indexed="64"/>
      </patternFill>
    </fill>
  </fills>
  <borders count="1">
    <border>
      <left/>
      <right/>
      <top/>
      <bottom/>
      <diagonal/>
    </border>
  </borders>
  <cellStyleXfs count="1">
    <xf numFmtId="0" fontId="0" fillId="0" borderId="0"/>
  </cellStyleXfs>
  <cellXfs count="13">
    <xf numFmtId="0" fontId="0" fillId="0" borderId="0" xfId="0"/>
    <xf numFmtId="0" fontId="0" fillId="2" borderId="0" xfId="0" applyFill="1"/>
    <xf numFmtId="0" fontId="1" fillId="0" borderId="0" xfId="0" applyFont="1"/>
    <xf numFmtId="9" fontId="0" fillId="0" borderId="0" xfId="0" applyNumberFormat="1"/>
    <xf numFmtId="0" fontId="0" fillId="0" borderId="0" xfId="0" applyAlignment="1">
      <alignment horizontal="center" vertical="center"/>
    </xf>
    <xf numFmtId="0" fontId="0" fillId="4" borderId="0" xfId="0" applyFill="1"/>
    <xf numFmtId="164" fontId="0" fillId="0" borderId="0" xfId="0" applyNumberFormat="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0" fillId="5" borderId="0" xfId="0" applyFill="1"/>
    <xf numFmtId="0" fontId="0" fillId="0" borderId="0" xfId="0" applyAlignment="1">
      <alignment horizontal="center" vertical="center" wrapText="1"/>
    </xf>
    <xf numFmtId="0" fontId="0" fillId="3" borderId="0" xfId="0" applyFill="1" applyAlignment="1">
      <alignment horizontal="center" vertical="center"/>
    </xf>
    <xf numFmtId="0" fontId="5" fillId="6" borderId="0" xfId="0" applyFont="1" applyFill="1" applyAlignment="1">
      <alignment horizontal="center" vertical="center"/>
    </xf>
  </cellXfs>
  <cellStyles count="1">
    <cellStyle name="Normal" xfId="0" builtinId="0"/>
  </cellStyles>
  <dxfs count="4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font>
        <b/>
        <i val="0"/>
        <strike val="0"/>
        <condense val="0"/>
        <extend val="0"/>
        <outline val="0"/>
        <shadow val="0"/>
        <u val="none"/>
        <vertAlign val="baseline"/>
        <sz val="11"/>
        <color theme="1"/>
        <name val="Aptos Narrow"/>
        <family val="2"/>
        <scheme val="minor"/>
      </font>
      <numFmt numFmtId="0" formatCode="General"/>
    </dxf>
    <dxf>
      <font>
        <b/>
        <i val="0"/>
        <strike val="0"/>
        <condense val="0"/>
        <extend val="0"/>
        <outline val="0"/>
        <shadow val="0"/>
        <u val="none"/>
        <vertAlign val="baseline"/>
        <sz val="11"/>
        <color theme="1"/>
        <name val="Aptos Narrow"/>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alignment horizontal="center" vertical="center" textRotation="0" indent="0" justifyLastLine="0" shrinkToFit="0" readingOrder="0"/>
    </dxf>
    <dxf>
      <fill>
        <patternFill patternType="solid">
          <fgColor indexed="64"/>
          <bgColor rgb="FFFFFF00"/>
        </patternFill>
      </fill>
      <alignment horizontal="center" vertical="center" textRotation="0" indent="0" justifyLastLine="0" shrinkToFit="0" readingOrder="0"/>
    </dxf>
    <dxf>
      <alignment horizontal="center" vertical="center" textRotation="0" indent="0" justifyLastLine="0" shrinkToFit="0" readingOrder="0"/>
    </dxf>
    <dxf>
      <fill>
        <patternFill>
          <bgColor rgb="FF92D050"/>
        </patternFill>
      </fill>
    </dxf>
    <dxf>
      <fill>
        <patternFill>
          <bgColor rgb="FFFF0000"/>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9.xml"/><Relationship Id="rId18" Type="http://schemas.microsoft.com/office/2007/relationships/slicerCache" Target="slicerCaches/slicerCache14.xml"/><Relationship Id="rId26" Type="http://schemas.microsoft.com/office/2017/10/relationships/person" Target="persons/person.xml"/><Relationship Id="rId21" Type="http://schemas.openxmlformats.org/officeDocument/2006/relationships/theme" Target="theme/theme1.xml"/><Relationship Id="rId34" Type="http://schemas.openxmlformats.org/officeDocument/2006/relationships/customXml" Target="../customXml/item7.xml"/><Relationship Id="rId7" Type="http://schemas.microsoft.com/office/2007/relationships/slicerCache" Target="slicerCaches/slicerCache3.xml"/><Relationship Id="rId12" Type="http://schemas.microsoft.com/office/2007/relationships/slicerCache" Target="slicerCaches/slicerCache8.xml"/><Relationship Id="rId17" Type="http://schemas.microsoft.com/office/2007/relationships/slicerCache" Target="slicerCaches/slicerCache13.xml"/><Relationship Id="rId25" Type="http://schemas.openxmlformats.org/officeDocument/2006/relationships/sheetMetadata" Target="metadata.xml"/><Relationship Id="rId33" Type="http://schemas.openxmlformats.org/officeDocument/2006/relationships/customXml" Target="../customXml/item6.xml"/><Relationship Id="rId2" Type="http://schemas.openxmlformats.org/officeDocument/2006/relationships/worksheet" Target="worksheets/sheet2.xml"/><Relationship Id="rId16" Type="http://schemas.microsoft.com/office/2007/relationships/slicerCache" Target="slicerCaches/slicerCache12.xml"/><Relationship Id="rId20" Type="http://schemas.microsoft.com/office/2007/relationships/slicerCache" Target="slicerCaches/slicerCache16.xml"/><Relationship Id="rId29" Type="http://schemas.openxmlformats.org/officeDocument/2006/relationships/customXml" Target="../customXml/item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24" Type="http://schemas.openxmlformats.org/officeDocument/2006/relationships/sharedStrings" Target="sharedStrings.xml"/><Relationship Id="rId32" Type="http://schemas.openxmlformats.org/officeDocument/2006/relationships/customXml" Target="../customXml/item5.xml"/><Relationship Id="rId37" Type="http://schemas.microsoft.com/office/2006/relationships/vbaProject" Target="vbaProject.bin"/><Relationship Id="rId5" Type="http://schemas.microsoft.com/office/2007/relationships/slicerCache" Target="slicerCaches/slicerCache1.xml"/><Relationship Id="rId15" Type="http://schemas.microsoft.com/office/2007/relationships/slicerCache" Target="slicerCaches/slicerCache11.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10" Type="http://schemas.microsoft.com/office/2007/relationships/slicerCache" Target="slicerCaches/slicerCache6.xml"/><Relationship Id="rId19" Type="http://schemas.microsoft.com/office/2007/relationships/slicerCache" Target="slicerCaches/slicerCache15.xml"/><Relationship Id="rId31"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5.xml"/><Relationship Id="rId14" Type="http://schemas.microsoft.com/office/2007/relationships/slicerCache" Target="slicerCaches/slicerCache10.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8" Type="http://schemas.microsoft.com/office/2007/relationships/slicerCache" Target="slicerCaches/slicerCache4.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10</xdr:row>
      <xdr:rowOff>171450</xdr:rowOff>
    </xdr:from>
    <xdr:to>
      <xdr:col>23</xdr:col>
      <xdr:colOff>9525</xdr:colOff>
      <xdr:row>35</xdr:row>
      <xdr:rowOff>142875</xdr:rowOff>
    </xdr:to>
    <xdr:sp macro="" textlink="">
      <xdr:nvSpPr>
        <xdr:cNvPr id="2" name="TextBox 1">
          <a:extLst>
            <a:ext uri="{FF2B5EF4-FFF2-40B4-BE49-F238E27FC236}">
              <a16:creationId xmlns:a16="http://schemas.microsoft.com/office/drawing/2014/main" id="{BA1933D1-BCD2-4E6E-86F1-425941942152}"/>
            </a:ext>
          </a:extLst>
        </xdr:cNvPr>
        <xdr:cNvSpPr txBox="1"/>
      </xdr:nvSpPr>
      <xdr:spPr>
        <a:xfrm>
          <a:off x="0" y="2076450"/>
          <a:ext cx="14030325" cy="473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t>Purpose:</a:t>
          </a:r>
          <a:r>
            <a:rPr lang="en-US" sz="2400" baseline="0"/>
            <a:t>  The user can create a test form through a selection of both products and tests for the weathering studies of paint products. The process of creating a testing grid that matches all brands, products, sheens, and colors selected as well as preparing the lists of tests for each of those unique product combinations can be time consuming with relentless copy and pasting and proper matching otherwise known as a cartesian product.  </a:t>
          </a:r>
          <a:br>
            <a:rPr lang="en-US" sz="2400" baseline="0"/>
          </a:br>
          <a:br>
            <a:rPr lang="en-US" sz="2400" baseline="0"/>
          </a:br>
          <a:r>
            <a:rPr lang="en-US" sz="2400" baseline="0"/>
            <a:t>This form servers to automate that process and create a clean combination of all products and tests selected, assign them unique record IDs as well as make data entry more robust, cleaner, and user friendly. </a:t>
          </a:r>
        </a:p>
        <a:p>
          <a:endParaRPr lang="en-US" sz="2400" baseline="0"/>
        </a:p>
        <a:p>
          <a:r>
            <a:rPr lang="en-US" sz="2400" baseline="0"/>
            <a:t>1) Select products from the product database</a:t>
          </a:r>
        </a:p>
        <a:p>
          <a:r>
            <a:rPr lang="en-US" sz="2400" baseline="0"/>
            <a:t>2) Select the tests that you would like to run in the weathering study</a:t>
          </a:r>
        </a:p>
        <a:p>
          <a:r>
            <a:rPr lang="en-US" sz="2400" baseline="0"/>
            <a:t>3) Refresh the form to generate your weathering record form</a:t>
          </a:r>
        </a:p>
        <a:p>
          <a:r>
            <a:rPr lang="en-US" sz="2400" baseline="0"/>
            <a:t>4) Save the file with Project ID and store it into the appropriate records folder to add it to the data model</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1451610</xdr:colOff>
      <xdr:row>13</xdr:row>
      <xdr:rowOff>152399</xdr:rowOff>
    </xdr:from>
    <xdr:to>
      <xdr:col>4</xdr:col>
      <xdr:colOff>1184910</xdr:colOff>
      <xdr:row>23</xdr:row>
      <xdr:rowOff>76199</xdr:rowOff>
    </xdr:to>
    <mc:AlternateContent xmlns:mc="http://schemas.openxmlformats.org/markup-compatibility/2006" xmlns:sle15="http://schemas.microsoft.com/office/drawing/2012/slicer">
      <mc:Choice Requires="sle15">
        <xdr:graphicFrame macro="">
          <xdr:nvGraphicFramePr>
            <xdr:cNvPr id="2" name="Brand">
              <a:extLst>
                <a:ext uri="{FF2B5EF4-FFF2-40B4-BE49-F238E27FC236}">
                  <a16:creationId xmlns:a16="http://schemas.microsoft.com/office/drawing/2014/main" id="{B4C50DE6-B1DA-CC48-64B0-2E320138083C}"/>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3870960" y="2628899"/>
              <a:ext cx="1514475"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247648</xdr:colOff>
      <xdr:row>24</xdr:row>
      <xdr:rowOff>9524</xdr:rowOff>
    </xdr:from>
    <xdr:to>
      <xdr:col>16</xdr:col>
      <xdr:colOff>4505325</xdr:colOff>
      <xdr:row>76</xdr:row>
      <xdr:rowOff>95249</xdr:rowOff>
    </xdr:to>
    <mc:AlternateContent xmlns:mc="http://schemas.openxmlformats.org/markup-compatibility/2006" xmlns:sle15="http://schemas.microsoft.com/office/drawing/2012/slicer">
      <mc:Choice Requires="sle15">
        <xdr:graphicFrame macro="">
          <xdr:nvGraphicFramePr>
            <xdr:cNvPr id="3" name="Unique Product Name 1">
              <a:extLst>
                <a:ext uri="{FF2B5EF4-FFF2-40B4-BE49-F238E27FC236}">
                  <a16:creationId xmlns:a16="http://schemas.microsoft.com/office/drawing/2014/main" id="{EA8512F3-99DF-1C9D-D856-29DDDB078CFA}"/>
                </a:ext>
              </a:extLst>
            </xdr:cNvPr>
            <xdr:cNvGraphicFramePr/>
          </xdr:nvGraphicFramePr>
          <xdr:xfrm>
            <a:off x="0" y="0"/>
            <a:ext cx="0" cy="0"/>
          </xdr:xfrm>
          <a:graphic>
            <a:graphicData uri="http://schemas.microsoft.com/office/drawing/2010/slicer">
              <sle:slicer xmlns:sle="http://schemas.microsoft.com/office/drawing/2010/slicer" name="Unique Product Name 1"/>
            </a:graphicData>
          </a:graphic>
        </xdr:graphicFrame>
      </mc:Choice>
      <mc:Fallback xmlns="">
        <xdr:sp macro="" textlink="">
          <xdr:nvSpPr>
            <xdr:cNvPr id="0" name=""/>
            <xdr:cNvSpPr>
              <a:spLocks noTextEdit="1"/>
            </xdr:cNvSpPr>
          </xdr:nvSpPr>
          <xdr:spPr>
            <a:xfrm>
              <a:off x="13773148" y="4581524"/>
              <a:ext cx="4257677" cy="5419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1291590</xdr:colOff>
      <xdr:row>13</xdr:row>
      <xdr:rowOff>152400</xdr:rowOff>
    </xdr:from>
    <xdr:to>
      <xdr:col>5</xdr:col>
      <xdr:colOff>1720215</xdr:colOff>
      <xdr:row>23</xdr:row>
      <xdr:rowOff>76200</xdr:rowOff>
    </xdr:to>
    <mc:AlternateContent xmlns:mc="http://schemas.openxmlformats.org/markup-compatibility/2006" xmlns:sle15="http://schemas.microsoft.com/office/drawing/2012/slicer">
      <mc:Choice Requires="sle15">
        <xdr:graphicFrame macro="">
          <xdr:nvGraphicFramePr>
            <xdr:cNvPr id="4" name="Color">
              <a:extLst>
                <a:ext uri="{FF2B5EF4-FFF2-40B4-BE49-F238E27FC236}">
                  <a16:creationId xmlns:a16="http://schemas.microsoft.com/office/drawing/2014/main" id="{4584BC07-9829-BCC7-D0D0-D7848FD5890F}"/>
                </a:ext>
              </a:extLst>
            </xdr:cNvP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5492115" y="2628900"/>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1826895</xdr:colOff>
      <xdr:row>13</xdr:row>
      <xdr:rowOff>152399</xdr:rowOff>
    </xdr:from>
    <xdr:to>
      <xdr:col>8</xdr:col>
      <xdr:colOff>112395</xdr:colOff>
      <xdr:row>23</xdr:row>
      <xdr:rowOff>76199</xdr:rowOff>
    </xdr:to>
    <mc:AlternateContent xmlns:mc="http://schemas.openxmlformats.org/markup-compatibility/2006" xmlns:sle15="http://schemas.microsoft.com/office/drawing/2012/slicer">
      <mc:Choice Requires="sle15">
        <xdr:graphicFrame macro="">
          <xdr:nvGraphicFramePr>
            <xdr:cNvPr id="6" name="Sheen">
              <a:extLst>
                <a:ext uri="{FF2B5EF4-FFF2-40B4-BE49-F238E27FC236}">
                  <a16:creationId xmlns:a16="http://schemas.microsoft.com/office/drawing/2014/main" id="{3F083B7B-E10C-A3DD-13D9-D2864547FAD0}"/>
                </a:ext>
              </a:extLst>
            </xdr:cNvPr>
            <xdr:cNvGraphicFramePr/>
          </xdr:nvGraphicFramePr>
          <xdr:xfrm>
            <a:off x="0" y="0"/>
            <a:ext cx="0" cy="0"/>
          </xdr:xfrm>
          <a:graphic>
            <a:graphicData uri="http://schemas.microsoft.com/office/drawing/2010/slicer">
              <sle:slicer xmlns:sle="http://schemas.microsoft.com/office/drawing/2010/slicer" name="Sheen"/>
            </a:graphicData>
          </a:graphic>
        </xdr:graphicFrame>
      </mc:Choice>
      <mc:Fallback xmlns="">
        <xdr:sp macro="" textlink="">
          <xdr:nvSpPr>
            <xdr:cNvPr id="0" name=""/>
            <xdr:cNvSpPr>
              <a:spLocks noTextEdit="1"/>
            </xdr:cNvSpPr>
          </xdr:nvSpPr>
          <xdr:spPr>
            <a:xfrm>
              <a:off x="7427595" y="2628899"/>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219075</xdr:colOff>
      <xdr:row>13</xdr:row>
      <xdr:rowOff>152399</xdr:rowOff>
    </xdr:from>
    <xdr:to>
      <xdr:col>9</xdr:col>
      <xdr:colOff>971550</xdr:colOff>
      <xdr:row>23</xdr:row>
      <xdr:rowOff>76199</xdr:rowOff>
    </xdr:to>
    <mc:AlternateContent xmlns:mc="http://schemas.openxmlformats.org/markup-compatibility/2006" xmlns:sle15="http://schemas.microsoft.com/office/drawing/2012/slicer">
      <mc:Choice Requires="sle15">
        <xdr:graphicFrame macro="">
          <xdr:nvGraphicFramePr>
            <xdr:cNvPr id="7" name="Purchase Year">
              <a:extLst>
                <a:ext uri="{FF2B5EF4-FFF2-40B4-BE49-F238E27FC236}">
                  <a16:creationId xmlns:a16="http://schemas.microsoft.com/office/drawing/2014/main" id="{1667310A-B1BA-2D8A-4E4B-FAB713B40FA6}"/>
                </a:ext>
              </a:extLst>
            </xdr:cNvPr>
            <xdr:cNvGraphicFramePr/>
          </xdr:nvGraphicFramePr>
          <xdr:xfrm>
            <a:off x="0" y="0"/>
            <a:ext cx="0" cy="0"/>
          </xdr:xfrm>
          <a:graphic>
            <a:graphicData uri="http://schemas.microsoft.com/office/drawing/2010/slicer">
              <sle:slicer xmlns:sle="http://schemas.microsoft.com/office/drawing/2010/slicer" name="Purchase Year"/>
            </a:graphicData>
          </a:graphic>
        </xdr:graphicFrame>
      </mc:Choice>
      <mc:Fallback xmlns="">
        <xdr:sp macro="" textlink="">
          <xdr:nvSpPr>
            <xdr:cNvPr id="0" name=""/>
            <xdr:cNvSpPr>
              <a:spLocks noTextEdit="1"/>
            </xdr:cNvSpPr>
          </xdr:nvSpPr>
          <xdr:spPr>
            <a:xfrm>
              <a:off x="9363075" y="2628899"/>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411480</xdr:colOff>
      <xdr:row>13</xdr:row>
      <xdr:rowOff>152399</xdr:rowOff>
    </xdr:from>
    <xdr:to>
      <xdr:col>3</xdr:col>
      <xdr:colOff>1344930</xdr:colOff>
      <xdr:row>23</xdr:row>
      <xdr:rowOff>76199</xdr:rowOff>
    </xdr:to>
    <mc:AlternateContent xmlns:mc="http://schemas.openxmlformats.org/markup-compatibility/2006" xmlns:sle15="http://schemas.microsoft.com/office/drawing/2012/slicer">
      <mc:Choice Requires="sle15">
        <xdr:graphicFrame macro="">
          <xdr:nvGraphicFramePr>
            <xdr:cNvPr id="8" name="Performance">
              <a:extLst>
                <a:ext uri="{FF2B5EF4-FFF2-40B4-BE49-F238E27FC236}">
                  <a16:creationId xmlns:a16="http://schemas.microsoft.com/office/drawing/2014/main" id="{9D4954DE-44A9-843F-72FB-D412D50E96B8}"/>
                </a:ext>
              </a:extLst>
            </xdr:cNvPr>
            <xdr:cNvGraphicFramePr/>
          </xdr:nvGraphicFramePr>
          <xdr:xfrm>
            <a:off x="0" y="0"/>
            <a:ext cx="0" cy="0"/>
          </xdr:xfrm>
          <a:graphic>
            <a:graphicData uri="http://schemas.microsoft.com/office/drawing/2010/slicer">
              <sle:slicer xmlns:sle="http://schemas.microsoft.com/office/drawing/2010/slicer" name="Performance"/>
            </a:graphicData>
          </a:graphic>
        </xdr:graphicFrame>
      </mc:Choice>
      <mc:Fallback xmlns="">
        <xdr:sp macro="" textlink="">
          <xdr:nvSpPr>
            <xdr:cNvPr id="0" name=""/>
            <xdr:cNvSpPr>
              <a:spLocks noTextEdit="1"/>
            </xdr:cNvSpPr>
          </xdr:nvSpPr>
          <xdr:spPr>
            <a:xfrm>
              <a:off x="1935480" y="2628899"/>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13</xdr:row>
      <xdr:rowOff>152399</xdr:rowOff>
    </xdr:from>
    <xdr:to>
      <xdr:col>2</xdr:col>
      <xdr:colOff>304800</xdr:colOff>
      <xdr:row>23</xdr:row>
      <xdr:rowOff>76199</xdr:rowOff>
    </xdr:to>
    <mc:AlternateContent xmlns:mc="http://schemas.openxmlformats.org/markup-compatibility/2006" xmlns:sle15="http://schemas.microsoft.com/office/drawing/2012/slicer">
      <mc:Choice Requires="sle15">
        <xdr:graphicFrame macro="">
          <xdr:nvGraphicFramePr>
            <xdr:cNvPr id="9" name="Application">
              <a:extLst>
                <a:ext uri="{FF2B5EF4-FFF2-40B4-BE49-F238E27FC236}">
                  <a16:creationId xmlns:a16="http://schemas.microsoft.com/office/drawing/2014/main" id="{526237F3-8538-CE78-1AFD-13BEB328A1E3}"/>
                </a:ext>
              </a:extLst>
            </xdr:cNvPr>
            <xdr:cNvGraphicFramePr/>
          </xdr:nvGraphicFramePr>
          <xdr:xfrm>
            <a:off x="0" y="0"/>
            <a:ext cx="0" cy="0"/>
          </xdr:xfrm>
          <a:graphic>
            <a:graphicData uri="http://schemas.microsoft.com/office/drawing/2010/slicer">
              <sle:slicer xmlns:sle="http://schemas.microsoft.com/office/drawing/2010/slicer" name="Application"/>
            </a:graphicData>
          </a:graphic>
        </xdr:graphicFrame>
      </mc:Choice>
      <mc:Fallback xmlns="">
        <xdr:sp macro="" textlink="">
          <xdr:nvSpPr>
            <xdr:cNvPr id="0" name=""/>
            <xdr:cNvSpPr>
              <a:spLocks noTextEdit="1"/>
            </xdr:cNvSpPr>
          </xdr:nvSpPr>
          <xdr:spPr>
            <a:xfrm>
              <a:off x="0" y="2628899"/>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0</xdr:row>
      <xdr:rowOff>0</xdr:rowOff>
    </xdr:from>
    <xdr:to>
      <xdr:col>8</xdr:col>
      <xdr:colOff>571500</xdr:colOff>
      <xdr:row>5</xdr:row>
      <xdr:rowOff>95250</xdr:rowOff>
    </xdr:to>
    <xdr:sp macro="" textlink="">
      <xdr:nvSpPr>
        <xdr:cNvPr id="11" name="TextBox 10">
          <a:extLst>
            <a:ext uri="{FF2B5EF4-FFF2-40B4-BE49-F238E27FC236}">
              <a16:creationId xmlns:a16="http://schemas.microsoft.com/office/drawing/2014/main" id="{AF65ED34-D5B7-434F-8492-689EC360C319}"/>
            </a:ext>
          </a:extLst>
        </xdr:cNvPr>
        <xdr:cNvSpPr txBox="1"/>
      </xdr:nvSpPr>
      <xdr:spPr>
        <a:xfrm>
          <a:off x="0" y="0"/>
          <a:ext cx="9467850"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1: Product Selection</a:t>
          </a:r>
        </a:p>
      </xdr:txBody>
    </xdr:sp>
    <xdr:clientData/>
  </xdr:twoCellAnchor>
  <xdr:twoCellAnchor>
    <xdr:from>
      <xdr:col>0</xdr:col>
      <xdr:colOff>533400</xdr:colOff>
      <xdr:row>8</xdr:row>
      <xdr:rowOff>47625</xdr:rowOff>
    </xdr:from>
    <xdr:to>
      <xdr:col>3</xdr:col>
      <xdr:colOff>1762125</xdr:colOff>
      <xdr:row>10</xdr:row>
      <xdr:rowOff>69228</xdr:rowOff>
    </xdr:to>
    <xdr:sp macro="" textlink="">
      <xdr:nvSpPr>
        <xdr:cNvPr id="12" name="TextBox 11">
          <a:extLst>
            <a:ext uri="{FF2B5EF4-FFF2-40B4-BE49-F238E27FC236}">
              <a16:creationId xmlns:a16="http://schemas.microsoft.com/office/drawing/2014/main" id="{25BF283E-5DA4-44C7-A69B-DE5B97A08865}"/>
            </a:ext>
          </a:extLst>
        </xdr:cNvPr>
        <xdr:cNvSpPr txBox="1"/>
      </xdr:nvSpPr>
      <xdr:spPr>
        <a:xfrm>
          <a:off x="533400" y="1571625"/>
          <a:ext cx="3409950" cy="40260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tx1"/>
              </a:solidFill>
            </a:rPr>
            <a:t>Give</a:t>
          </a:r>
          <a:r>
            <a:rPr lang="en-US" sz="1100" baseline="0">
              <a:solidFill>
                <a:schemeClr val="tx1"/>
              </a:solidFill>
            </a:rPr>
            <a:t> your Project a PDL ID</a:t>
          </a:r>
          <a:endParaRPr lang="en-US" sz="1100">
            <a:solidFill>
              <a:schemeClr val="tx1"/>
            </a:solidFill>
          </a:endParaRPr>
        </a:p>
      </xdr:txBody>
    </xdr:sp>
    <xdr:clientData/>
  </xdr:twoCellAnchor>
  <xdr:twoCellAnchor>
    <xdr:from>
      <xdr:col>16</xdr:col>
      <xdr:colOff>228601</xdr:colOff>
      <xdr:row>20</xdr:row>
      <xdr:rowOff>19050</xdr:rowOff>
    </xdr:from>
    <xdr:to>
      <xdr:col>16</xdr:col>
      <xdr:colOff>4495801</xdr:colOff>
      <xdr:row>23</xdr:row>
      <xdr:rowOff>26906</xdr:rowOff>
    </xdr:to>
    <xdr:sp macro="" textlink="">
      <xdr:nvSpPr>
        <xdr:cNvPr id="14" name="TextBox 13">
          <a:extLst>
            <a:ext uri="{FF2B5EF4-FFF2-40B4-BE49-F238E27FC236}">
              <a16:creationId xmlns:a16="http://schemas.microsoft.com/office/drawing/2014/main" id="{80C8D3D0-FAB0-47DF-8ED5-CC88D8BC0A41}"/>
            </a:ext>
          </a:extLst>
        </xdr:cNvPr>
        <xdr:cNvSpPr txBox="1"/>
      </xdr:nvSpPr>
      <xdr:spPr>
        <a:xfrm>
          <a:off x="13754101" y="3829050"/>
          <a:ext cx="4267200" cy="579356"/>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Pick your Products Here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95250</xdr:colOff>
      <xdr:row>5</xdr:row>
      <xdr:rowOff>95250</xdr:rowOff>
    </xdr:to>
    <xdr:sp macro="" textlink="">
      <xdr:nvSpPr>
        <xdr:cNvPr id="8" name="TextBox 7">
          <a:extLst>
            <a:ext uri="{FF2B5EF4-FFF2-40B4-BE49-F238E27FC236}">
              <a16:creationId xmlns:a16="http://schemas.microsoft.com/office/drawing/2014/main" id="{49AD6592-03DD-4F2F-8ED7-E0D9FABFAD9B}"/>
            </a:ext>
          </a:extLst>
        </xdr:cNvPr>
        <xdr:cNvSpPr txBox="1"/>
      </xdr:nvSpPr>
      <xdr:spPr>
        <a:xfrm>
          <a:off x="0" y="0"/>
          <a:ext cx="8677275"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2: Test Selection</a:t>
          </a:r>
        </a:p>
      </xdr:txBody>
    </xdr:sp>
    <xdr:clientData/>
  </xdr:twoCellAnchor>
  <xdr:twoCellAnchor editAs="absolute">
    <xdr:from>
      <xdr:col>0</xdr:col>
      <xdr:colOff>0</xdr:colOff>
      <xdr:row>7</xdr:row>
      <xdr:rowOff>180975</xdr:rowOff>
    </xdr:from>
    <xdr:to>
      <xdr:col>1</xdr:col>
      <xdr:colOff>742950</xdr:colOff>
      <xdr:row>21</xdr:row>
      <xdr:rowOff>180975</xdr:rowOff>
    </xdr:to>
    <mc:AlternateContent xmlns:mc="http://schemas.openxmlformats.org/markup-compatibility/2006" xmlns:sle15="http://schemas.microsoft.com/office/drawing/2012/slicer">
      <mc:Choice Requires="sle15">
        <xdr:graphicFrame macro="">
          <xdr:nvGraphicFramePr>
            <xdr:cNvPr id="9" name="Test">
              <a:extLst>
                <a:ext uri="{FF2B5EF4-FFF2-40B4-BE49-F238E27FC236}">
                  <a16:creationId xmlns:a16="http://schemas.microsoft.com/office/drawing/2014/main" id="{50E451C4-4E60-C013-53AE-D39CAB2CB1EC}"/>
                </a:ext>
              </a:extLst>
            </xdr:cNvPr>
            <xdr:cNvGraphicFramePr/>
          </xdr:nvGraphicFramePr>
          <xdr:xfrm>
            <a:off x="0" y="0"/>
            <a:ext cx="0" cy="0"/>
          </xdr:xfrm>
          <a:graphic>
            <a:graphicData uri="http://schemas.microsoft.com/office/drawing/2010/slicer">
              <sle:slicer xmlns:sle="http://schemas.microsoft.com/office/drawing/2010/slicer" name="Test"/>
            </a:graphicData>
          </a:graphic>
        </xdr:graphicFrame>
      </mc:Choice>
      <mc:Fallback xmlns="">
        <xdr:sp macro="" textlink="">
          <xdr:nvSpPr>
            <xdr:cNvPr id="0" name=""/>
            <xdr:cNvSpPr>
              <a:spLocks noTextEdit="1"/>
            </xdr:cNvSpPr>
          </xdr:nvSpPr>
          <xdr:spPr>
            <a:xfrm>
              <a:off x="0" y="15144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476250</xdr:colOff>
      <xdr:row>8</xdr:row>
      <xdr:rowOff>0</xdr:rowOff>
    </xdr:from>
    <xdr:to>
      <xdr:col>7</xdr:col>
      <xdr:colOff>428625</xdr:colOff>
      <xdr:row>22</xdr:row>
      <xdr:rowOff>0</xdr:rowOff>
    </xdr:to>
    <mc:AlternateContent xmlns:mc="http://schemas.openxmlformats.org/markup-compatibility/2006" xmlns:sle15="http://schemas.microsoft.com/office/drawing/2012/slicer">
      <mc:Choice Requires="sle15">
        <xdr:graphicFrame macro="">
          <xdr:nvGraphicFramePr>
            <xdr:cNvPr id="10" name="ASTM">
              <a:extLst>
                <a:ext uri="{FF2B5EF4-FFF2-40B4-BE49-F238E27FC236}">
                  <a16:creationId xmlns:a16="http://schemas.microsoft.com/office/drawing/2014/main" id="{B2865E23-8978-AAE3-C357-7751194A477B}"/>
                </a:ext>
              </a:extLst>
            </xdr:cNvPr>
            <xdr:cNvGraphicFramePr/>
          </xdr:nvGraphicFramePr>
          <xdr:xfrm>
            <a:off x="0" y="0"/>
            <a:ext cx="0" cy="0"/>
          </xdr:xfrm>
          <a:graphic>
            <a:graphicData uri="http://schemas.microsoft.com/office/drawing/2010/slicer">
              <sle:slicer xmlns:sle="http://schemas.microsoft.com/office/drawing/2010/slicer" name="ASTM"/>
            </a:graphicData>
          </a:graphic>
        </xdr:graphicFrame>
      </mc:Choice>
      <mc:Fallback xmlns="">
        <xdr:sp macro="" textlink="">
          <xdr:nvSpPr>
            <xdr:cNvPr id="0" name=""/>
            <xdr:cNvSpPr>
              <a:spLocks noTextEdit="1"/>
            </xdr:cNvSpPr>
          </xdr:nvSpPr>
          <xdr:spPr>
            <a:xfrm>
              <a:off x="3810000" y="15240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57150</xdr:colOff>
      <xdr:row>8</xdr:row>
      <xdr:rowOff>0</xdr:rowOff>
    </xdr:from>
    <xdr:to>
      <xdr:col>4</xdr:col>
      <xdr:colOff>409575</xdr:colOff>
      <xdr:row>22</xdr:row>
      <xdr:rowOff>0</xdr:rowOff>
    </xdr:to>
    <mc:AlternateContent xmlns:mc="http://schemas.openxmlformats.org/markup-compatibility/2006" xmlns:sle15="http://schemas.microsoft.com/office/drawing/2012/slicer">
      <mc:Choice Requires="sle15">
        <xdr:graphicFrame macro="">
          <xdr:nvGraphicFramePr>
            <xdr:cNvPr id="11" name="Test Name">
              <a:extLst>
                <a:ext uri="{FF2B5EF4-FFF2-40B4-BE49-F238E27FC236}">
                  <a16:creationId xmlns:a16="http://schemas.microsoft.com/office/drawing/2014/main" id="{BCE5D6A9-7A46-B6A7-C545-B922E6865F08}"/>
                </a:ext>
              </a:extLst>
            </xdr:cNvPr>
            <xdr:cNvGraphicFramePr/>
          </xdr:nvGraphicFramePr>
          <xdr:xfrm>
            <a:off x="0" y="0"/>
            <a:ext cx="0" cy="0"/>
          </xdr:xfrm>
          <a:graphic>
            <a:graphicData uri="http://schemas.microsoft.com/office/drawing/2010/slicer">
              <sle:slicer xmlns:sle="http://schemas.microsoft.com/office/drawing/2010/slicer" name="Test Name"/>
            </a:graphicData>
          </a:graphic>
        </xdr:graphicFrame>
      </mc:Choice>
      <mc:Fallback xmlns="">
        <xdr:sp macro="" textlink="">
          <xdr:nvSpPr>
            <xdr:cNvPr id="0" name=""/>
            <xdr:cNvSpPr>
              <a:spLocks noTextEdit="1"/>
            </xdr:cNvSpPr>
          </xdr:nvSpPr>
          <xdr:spPr>
            <a:xfrm>
              <a:off x="1914525" y="15240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485775</xdr:colOff>
      <xdr:row>7</xdr:row>
      <xdr:rowOff>180975</xdr:rowOff>
    </xdr:from>
    <xdr:to>
      <xdr:col>8</xdr:col>
      <xdr:colOff>885825</xdr:colOff>
      <xdr:row>21</xdr:row>
      <xdr:rowOff>180975</xdr:rowOff>
    </xdr:to>
    <mc:AlternateContent xmlns:mc="http://schemas.openxmlformats.org/markup-compatibility/2006" xmlns:sle15="http://schemas.microsoft.com/office/drawing/2012/slicer">
      <mc:Choice Requires="sle15">
        <xdr:graphicFrame macro="">
          <xdr:nvGraphicFramePr>
            <xdr:cNvPr id="12" name="Time">
              <a:extLst>
                <a:ext uri="{FF2B5EF4-FFF2-40B4-BE49-F238E27FC236}">
                  <a16:creationId xmlns:a16="http://schemas.microsoft.com/office/drawing/2014/main" id="{C87D796C-EDD3-1E8D-08FB-0BE15211FCFA}"/>
                </a:ext>
              </a:extLst>
            </xdr:cNvPr>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5695950" y="15144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8</xdr:row>
      <xdr:rowOff>9525</xdr:rowOff>
    </xdr:from>
    <xdr:to>
      <xdr:col>12</xdr:col>
      <xdr:colOff>466725</xdr:colOff>
      <xdr:row>22</xdr:row>
      <xdr:rowOff>9525</xdr:rowOff>
    </xdr:to>
    <mc:AlternateContent xmlns:mc="http://schemas.openxmlformats.org/markup-compatibility/2006" xmlns:sle15="http://schemas.microsoft.com/office/drawing/2012/slicer">
      <mc:Choice Requires="sle15">
        <xdr:graphicFrame macro="">
          <xdr:nvGraphicFramePr>
            <xdr:cNvPr id="13" name="Property">
              <a:extLst>
                <a:ext uri="{FF2B5EF4-FFF2-40B4-BE49-F238E27FC236}">
                  <a16:creationId xmlns:a16="http://schemas.microsoft.com/office/drawing/2014/main" id="{711CB7B8-CDD5-759F-A6FE-16D986074773}"/>
                </a:ext>
              </a:extLst>
            </xdr:cNvPr>
            <xdr:cNvGraphicFramePr/>
          </xdr:nvGraphicFramePr>
          <xdr:xfrm>
            <a:off x="0" y="0"/>
            <a:ext cx="0" cy="0"/>
          </xdr:xfrm>
          <a:graphic>
            <a:graphicData uri="http://schemas.microsoft.com/office/drawing/2010/slicer">
              <sle:slicer xmlns:sle="http://schemas.microsoft.com/office/drawing/2010/slicer" name="Property"/>
            </a:graphicData>
          </a:graphic>
        </xdr:graphicFrame>
      </mc:Choice>
      <mc:Fallback xmlns="">
        <xdr:sp macro="" textlink="">
          <xdr:nvSpPr>
            <xdr:cNvPr id="0" name=""/>
            <xdr:cNvSpPr>
              <a:spLocks noTextEdit="1"/>
            </xdr:cNvSpPr>
          </xdr:nvSpPr>
          <xdr:spPr>
            <a:xfrm>
              <a:off x="7591425" y="15335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9525</xdr:colOff>
      <xdr:row>5</xdr:row>
      <xdr:rowOff>95250</xdr:rowOff>
    </xdr:to>
    <xdr:sp macro="" textlink="">
      <xdr:nvSpPr>
        <xdr:cNvPr id="2" name="TextBox 1">
          <a:extLst>
            <a:ext uri="{FF2B5EF4-FFF2-40B4-BE49-F238E27FC236}">
              <a16:creationId xmlns:a16="http://schemas.microsoft.com/office/drawing/2014/main" id="{79C8494B-38C1-430B-B18E-F0E8F2343AAF}"/>
            </a:ext>
          </a:extLst>
        </xdr:cNvPr>
        <xdr:cNvSpPr txBox="1"/>
      </xdr:nvSpPr>
      <xdr:spPr>
        <a:xfrm>
          <a:off x="0" y="0"/>
          <a:ext cx="10734675"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3: Create Your Test Grid</a:t>
          </a:r>
        </a:p>
      </xdr:txBody>
    </xdr:sp>
    <xdr:clientData/>
  </xdr:twoCellAnchor>
  <mc:AlternateContent xmlns:mc="http://schemas.openxmlformats.org/markup-compatibility/2006">
    <mc:Choice xmlns:a14="http://schemas.microsoft.com/office/drawing/2010/main" Requires="a14">
      <xdr:twoCellAnchor>
        <xdr:from>
          <xdr:col>0</xdr:col>
          <xdr:colOff>0</xdr:colOff>
          <xdr:row>7</xdr:row>
          <xdr:rowOff>142875</xdr:rowOff>
        </xdr:from>
        <xdr:to>
          <xdr:col>9</xdr:col>
          <xdr:colOff>533400</xdr:colOff>
          <xdr:row>11</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My Test Grid</a:t>
              </a:r>
            </a:p>
          </xdr:txBody>
        </xdr:sp>
        <xdr:clientData fPrintsWithSheet="0"/>
      </xdr:twoCellAnchor>
    </mc:Choice>
    <mc:Fallback/>
  </mc:AlternateContent>
  <xdr:twoCellAnchor editAs="absolute">
    <xdr:from>
      <xdr:col>13</xdr:col>
      <xdr:colOff>47625</xdr:colOff>
      <xdr:row>0</xdr:row>
      <xdr:rowOff>0</xdr:rowOff>
    </xdr:from>
    <xdr:to>
      <xdr:col>14</xdr:col>
      <xdr:colOff>923925</xdr:colOff>
      <xdr:row>12</xdr:row>
      <xdr:rowOff>152400</xdr:rowOff>
    </xdr:to>
    <mc:AlternateContent xmlns:mc="http://schemas.openxmlformats.org/markup-compatibility/2006">
      <mc:Choice xmlns:sle15="http://schemas.microsoft.com/office/drawing/2012/slicer" Requires="sle15">
        <xdr:graphicFrame macro="">
          <xdr:nvGraphicFramePr>
            <xdr:cNvPr id="3" name="Test Name 1">
              <a:extLst>
                <a:ext uri="{FF2B5EF4-FFF2-40B4-BE49-F238E27FC236}">
                  <a16:creationId xmlns:a16="http://schemas.microsoft.com/office/drawing/2014/main" id="{02A26AB2-2C33-FBDC-B2D7-A1A0D9E26428}"/>
                </a:ext>
              </a:extLst>
            </xdr:cNvPr>
            <xdr:cNvGraphicFramePr/>
          </xdr:nvGraphicFramePr>
          <xdr:xfrm>
            <a:off x="0" y="0"/>
            <a:ext cx="0" cy="0"/>
          </xdr:xfrm>
          <a:graphic>
            <a:graphicData uri="http://schemas.microsoft.com/office/drawing/2010/slicer">
              <sle:slicer xmlns:sle="http://schemas.microsoft.com/office/drawing/2010/slicer" name="Test Name 1"/>
            </a:graphicData>
          </a:graphic>
        </xdr:graphicFrame>
      </mc:Choice>
      <mc:Fallback>
        <xdr:sp macro="" textlink="">
          <xdr:nvSpPr>
            <xdr:cNvPr id="0" name=""/>
            <xdr:cNvSpPr>
              <a:spLocks noTextEdit="1"/>
            </xdr:cNvSpPr>
          </xdr:nvSpPr>
          <xdr:spPr>
            <a:xfrm>
              <a:off x="12715875" y="0"/>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114300</xdr:colOff>
      <xdr:row>0</xdr:row>
      <xdr:rowOff>0</xdr:rowOff>
    </xdr:from>
    <xdr:to>
      <xdr:col>16</xdr:col>
      <xdr:colOff>704850</xdr:colOff>
      <xdr:row>12</xdr:row>
      <xdr:rowOff>152400</xdr:rowOff>
    </xdr:to>
    <mc:AlternateContent xmlns:mc="http://schemas.openxmlformats.org/markup-compatibility/2006">
      <mc:Choice xmlns:sle15="http://schemas.microsoft.com/office/drawing/2012/slicer" Requires="sle15">
        <xdr:graphicFrame macro="">
          <xdr:nvGraphicFramePr>
            <xdr:cNvPr id="4" name="Time 1">
              <a:extLst>
                <a:ext uri="{FF2B5EF4-FFF2-40B4-BE49-F238E27FC236}">
                  <a16:creationId xmlns:a16="http://schemas.microsoft.com/office/drawing/2014/main" id="{3F830463-6D30-9232-0010-B2A66EF97482}"/>
                </a:ext>
              </a:extLst>
            </xdr:cNvPr>
            <xdr:cNvGraphicFramePr/>
          </xdr:nvGraphicFramePr>
          <xdr:xfrm>
            <a:off x="0" y="0"/>
            <a:ext cx="0" cy="0"/>
          </xdr:xfrm>
          <a:graphic>
            <a:graphicData uri="http://schemas.microsoft.com/office/drawing/2010/slicer">
              <sle:slicer xmlns:sle="http://schemas.microsoft.com/office/drawing/2010/slicer" name="Time 1"/>
            </a:graphicData>
          </a:graphic>
        </xdr:graphicFrame>
      </mc:Choice>
      <mc:Fallback>
        <xdr:sp macro="" textlink="">
          <xdr:nvSpPr>
            <xdr:cNvPr id="0" name=""/>
            <xdr:cNvSpPr>
              <a:spLocks noTextEdit="1"/>
            </xdr:cNvSpPr>
          </xdr:nvSpPr>
          <xdr:spPr>
            <a:xfrm>
              <a:off x="14735175" y="0"/>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895350</xdr:colOff>
      <xdr:row>0</xdr:row>
      <xdr:rowOff>0</xdr:rowOff>
    </xdr:from>
    <xdr:to>
      <xdr:col>18</xdr:col>
      <xdr:colOff>266700</xdr:colOff>
      <xdr:row>12</xdr:row>
      <xdr:rowOff>152400</xdr:rowOff>
    </xdr:to>
    <mc:AlternateContent xmlns:mc="http://schemas.openxmlformats.org/markup-compatibility/2006">
      <mc:Choice xmlns:sle15="http://schemas.microsoft.com/office/drawing/2012/slicer" Requires="sle15">
        <xdr:graphicFrame macro="">
          <xdr:nvGraphicFramePr>
            <xdr:cNvPr id="5" name="Property 1">
              <a:extLst>
                <a:ext uri="{FF2B5EF4-FFF2-40B4-BE49-F238E27FC236}">
                  <a16:creationId xmlns:a16="http://schemas.microsoft.com/office/drawing/2014/main" id="{A3F60A60-2E58-3851-0C9D-E147A2E4D7E9}"/>
                </a:ext>
              </a:extLst>
            </xdr:cNvPr>
            <xdr:cNvGraphicFramePr/>
          </xdr:nvGraphicFramePr>
          <xdr:xfrm>
            <a:off x="0" y="0"/>
            <a:ext cx="0" cy="0"/>
          </xdr:xfrm>
          <a:graphic>
            <a:graphicData uri="http://schemas.microsoft.com/office/drawing/2010/slicer">
              <sle:slicer xmlns:sle="http://schemas.microsoft.com/office/drawing/2010/slicer" name="Property 1"/>
            </a:graphicData>
          </a:graphic>
        </xdr:graphicFrame>
      </mc:Choice>
      <mc:Fallback>
        <xdr:sp macro="" textlink="">
          <xdr:nvSpPr>
            <xdr:cNvPr id="0" name=""/>
            <xdr:cNvSpPr>
              <a:spLocks noTextEdit="1"/>
            </xdr:cNvSpPr>
          </xdr:nvSpPr>
          <xdr:spPr>
            <a:xfrm>
              <a:off x="16754475" y="0"/>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266700</xdr:colOff>
      <xdr:row>0</xdr:row>
      <xdr:rowOff>0</xdr:rowOff>
    </xdr:from>
    <xdr:to>
      <xdr:col>12</xdr:col>
      <xdr:colOff>647700</xdr:colOff>
      <xdr:row>12</xdr:row>
      <xdr:rowOff>152400</xdr:rowOff>
    </xdr:to>
    <mc:AlternateContent xmlns:mc="http://schemas.openxmlformats.org/markup-compatibility/2006">
      <mc:Choice xmlns:sle15="http://schemas.microsoft.com/office/drawing/2012/slicer" Requires="sle15">
        <xdr:graphicFrame macro="">
          <xdr:nvGraphicFramePr>
            <xdr:cNvPr id="6" name="Sample ID">
              <a:extLst>
                <a:ext uri="{FF2B5EF4-FFF2-40B4-BE49-F238E27FC236}">
                  <a16:creationId xmlns:a16="http://schemas.microsoft.com/office/drawing/2014/main" id="{0B53BDEA-DE9E-299E-1550-8CDDFA72CFC9}"/>
                </a:ext>
              </a:extLst>
            </xdr:cNvPr>
            <xdr:cNvGraphicFramePr/>
          </xdr:nvGraphicFramePr>
          <xdr:xfrm>
            <a:off x="0" y="0"/>
            <a:ext cx="0" cy="0"/>
          </xdr:xfrm>
          <a:graphic>
            <a:graphicData uri="http://schemas.microsoft.com/office/drawing/2010/slicer">
              <sle:slicer xmlns:sle="http://schemas.microsoft.com/office/drawing/2010/slicer" name="Sample ID"/>
            </a:graphicData>
          </a:graphic>
        </xdr:graphicFrame>
      </mc:Choice>
      <mc:Fallback>
        <xdr:sp macro="" textlink="">
          <xdr:nvSpPr>
            <xdr:cNvPr id="0" name=""/>
            <xdr:cNvSpPr>
              <a:spLocks noTextEdit="1"/>
            </xdr:cNvSpPr>
          </xdr:nvSpPr>
          <xdr:spPr>
            <a:xfrm>
              <a:off x="10696575" y="0"/>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6" xr16:uid="{7A97C944-99FE-480D-8E10-868D5D81FB20}" autoFormatId="16" applyNumberFormats="0" applyBorderFormats="0" applyFontFormats="0" applyPatternFormats="0" applyAlignmentFormats="0" applyWidthHeightFormats="0">
  <queryTableRefresh nextId="21" unboundColumnsRight="1">
    <queryTableFields count="16">
      <queryTableField id="1" name="Brand" tableColumnId="1"/>
      <queryTableField id="2" name="Product" tableColumnId="2"/>
      <queryTableField id="3" name="Application" tableColumnId="3"/>
      <queryTableField id="4" name="Performance" tableColumnId="4"/>
      <queryTableField id="5" name="Sheen" tableColumnId="5"/>
      <queryTableField id="6" name="Color" tableColumnId="6"/>
      <queryTableField id="7" name="Base" tableColumnId="7"/>
      <queryTableField id="8" name="Base Sort" tableColumnId="8"/>
      <queryTableField id="9" name="Purchase Year" tableColumnId="9"/>
      <queryTableField id="10" name="Unique Product Name" tableColumnId="10"/>
      <queryTableField id="13" name="Duplicate?" tableColumnId="12"/>
      <queryTableField id="11" name="Product ID" tableColumnId="11"/>
      <queryTableField id="14" name="Sort Position" tableColumnId="13"/>
      <queryTableField id="15" name="WPG" tableColumnId="14"/>
      <queryTableField id="16" name="Weight Solids" tableColumnId="15"/>
      <queryTableField id="20"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E792B82C-EED7-42A8-883F-64578FBC920A}" autoFormatId="16" applyNumberFormats="0" applyBorderFormats="0" applyFontFormats="0" applyPatternFormats="0" applyAlignmentFormats="0" applyWidthHeightFormats="0">
  <queryTableRefresh nextId="11" unboundColumnsRight="1">
    <queryTableFields count="10">
      <queryTableField id="1" name="Weathering ID" tableColumnId="1"/>
      <queryTableField id="2" name="Test" tableColumnId="2"/>
      <queryTableField id="3" name="ASTM" tableColumnId="3"/>
      <queryTableField id="4" name="Test Name" tableColumnId="4"/>
      <queryTableField id="5" name="Time" tableColumnId="5"/>
      <queryTableField id="6" name="Time Unit" tableColumnId="6"/>
      <queryTableField id="7" name="Coats" tableColumnId="7"/>
      <queryTableField id="8" name="Substrate" tableColumnId="8"/>
      <queryTableField id="9" name="Property" tableColumnId="9"/>
      <queryTableField id="10" dataBound="0"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7FD519E8-A0E6-4001-AFA0-A57AC4FEC054}" autoFormatId="16" applyNumberFormats="0" applyBorderFormats="0" applyFontFormats="0" applyPatternFormats="0" applyAlignmentFormats="0" applyWidthHeightFormats="0">
  <queryTableRefresh nextId="40" unboundColumnsRight="12">
    <queryTableFields count="27">
      <queryTableField id="1" name="PDL ID" tableColumnId="1"/>
      <queryTableField id="2" name="Sample ID" tableColumnId="2"/>
      <queryTableField id="3" name="Sheen" tableColumnId="3"/>
      <queryTableField id="4" name="Color" tableColumnId="4"/>
      <queryTableField id="5" name="Base" tableColumnId="5"/>
      <queryTableField id="6" name="Unique Product Name" tableColumnId="6"/>
      <queryTableField id="7" name="Product ID" tableColumnId="7"/>
      <queryTableField id="8" name="Weathering ID" tableColumnId="8"/>
      <queryTableField id="9" name="Test" tableColumnId="9"/>
      <queryTableField id="10" name="ASTM" tableColumnId="10"/>
      <queryTableField id="11" name="Test Name" tableColumnId="11"/>
      <queryTableField id="12" name="Time" tableColumnId="12"/>
      <queryTableField id="13" name="Time Unit" tableColumnId="13"/>
      <queryTableField id="14" name="Property" tableColumnId="14"/>
      <queryTableField id="26" name="Merged" tableColumnId="26"/>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9" dataBound="0" tableColumnId="39"/>
      <queryTableField id="34" dataBound="0" tableColumnId="34"/>
      <queryTableField id="35" dataBound="0" tableColumnId="35"/>
      <queryTableField id="36" dataBound="0" tableColumnId="36"/>
      <queryTableField id="37" dataBound="0" tableColumnId="37"/>
      <queryTableField id="38" dataBound="0" tableColumnId="3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C93D2939-3684-4F48-B006-CC4CB36D666E}" sourceName="Brand">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Product_Name1" xr10:uid="{3109E1BA-3593-4F16-AECE-0A6EB4A57DFC}" sourceName="Unique Product Name">
  <extLst>
    <x:ext xmlns:x15="http://schemas.microsoft.com/office/spreadsheetml/2010/11/main" uri="{2F2917AC-EB37-4324-AD4E-5DD8C200BD13}">
      <x15:tableSlicerCache tableId="2" column="10"/>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 xr10:uid="{CE7F2091-4A51-4298-9F23-343F49B5912C}" sourceName="Color">
  <extLst>
    <x:ext xmlns:x15="http://schemas.microsoft.com/office/spreadsheetml/2010/11/main" uri="{2F2917AC-EB37-4324-AD4E-5DD8C200BD13}">
      <x15:tableSlicerCache tableId="2"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een" xr10:uid="{D4C86C0C-4D2B-4D3E-8E54-BCF1FEC0CEF8}" sourceName="Sheen">
  <extLst>
    <x:ext xmlns:x15="http://schemas.microsoft.com/office/spreadsheetml/2010/11/main" uri="{2F2917AC-EB37-4324-AD4E-5DD8C200BD13}">
      <x15:tableSlicerCache tableId="2" column="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Year" xr10:uid="{77E54F17-53AB-4886-B3D2-4C9D7B531D86}" sourceName="Purchase Year">
  <extLst>
    <x:ext xmlns:x15="http://schemas.microsoft.com/office/spreadsheetml/2010/11/main" uri="{2F2917AC-EB37-4324-AD4E-5DD8C200BD13}">
      <x15:tableSlicerCache tableId="2" column="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 xr10:uid="{D734296B-7A02-45C4-A409-66F1EC22E5C5}" sourceName="Performance">
  <extLst>
    <x:ext xmlns:x15="http://schemas.microsoft.com/office/spreadsheetml/2010/11/main" uri="{2F2917AC-EB37-4324-AD4E-5DD8C200BD13}">
      <x15:tableSlicerCache tableId="2" column="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 xr10:uid="{7F88838E-9F76-4EBA-BE4E-19AE8C57905F}" sourceName="Application">
  <extLst>
    <x:ext xmlns:x15="http://schemas.microsoft.com/office/spreadsheetml/2010/11/main" uri="{2F2917AC-EB37-4324-AD4E-5DD8C200BD13}">
      <x15:tableSlicerCache tableId="2"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 xr10:uid="{4BD215C5-1824-4E6C-8614-597F82260002}" sourceName="Test">
  <extLst>
    <x:ext xmlns:x15="http://schemas.microsoft.com/office/spreadsheetml/2010/11/main" uri="{2F2917AC-EB37-4324-AD4E-5DD8C200BD13}">
      <x15:tableSlicerCache tableId="1"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TM" xr10:uid="{DBCEBFA2-83F9-499C-86A8-B3923C7D6AC1}" sourceName="ASTM">
  <extLst>
    <x:ext xmlns:x15="http://schemas.microsoft.com/office/spreadsheetml/2010/11/main" uri="{2F2917AC-EB37-4324-AD4E-5DD8C200BD13}">
      <x15:tableSlicerCache tableId="1" column="3"/>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 xr10:uid="{E22EA6F2-D328-4545-AB0F-0BAD2979B037}" sourceName="Test Name">
  <extLst>
    <x:ext xmlns:x15="http://schemas.microsoft.com/office/spreadsheetml/2010/11/main" uri="{2F2917AC-EB37-4324-AD4E-5DD8C200BD13}">
      <x15:tableSlicerCache tableId="1"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 xr10:uid="{54C98D0A-DA75-47D0-8C6E-1979475AAFFB}" sourceName="Time">
  <extLst>
    <x:ext xmlns:x15="http://schemas.microsoft.com/office/spreadsheetml/2010/11/main" uri="{2F2917AC-EB37-4324-AD4E-5DD8C200BD13}">
      <x15:tableSlicerCache tableId="1" column="5"/>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 xr10:uid="{2485F209-6249-4B04-B152-689AC50853DD}" sourceName="Property">
  <extLst>
    <x:ext xmlns:x15="http://schemas.microsoft.com/office/spreadsheetml/2010/11/main" uri="{2F2917AC-EB37-4324-AD4E-5DD8C200BD13}">
      <x15:tableSlicerCache tableId="1" column="9"/>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1" xr10:uid="{008DC06D-8250-4954-9576-578B01D92F47}" sourceName="Test Name">
  <extLst>
    <x:ext xmlns:x15="http://schemas.microsoft.com/office/spreadsheetml/2010/11/main" uri="{2F2917AC-EB37-4324-AD4E-5DD8C200BD13}">
      <x15:tableSlicerCache tableId="3" column="1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1" xr10:uid="{BEA6E688-C33E-4368-8FE0-EB8252CB0949}" sourceName="Time">
  <extLst>
    <x:ext xmlns:x15="http://schemas.microsoft.com/office/spreadsheetml/2010/11/main" uri="{2F2917AC-EB37-4324-AD4E-5DD8C200BD13}">
      <x15:tableSlicerCache tableId="3" column="1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1" xr10:uid="{4A49BB1A-9D28-4881-8D4C-B9022B58691D}" sourceName="Property">
  <extLst>
    <x:ext xmlns:x15="http://schemas.microsoft.com/office/spreadsheetml/2010/11/main" uri="{2F2917AC-EB37-4324-AD4E-5DD8C200BD13}">
      <x15:tableSlicerCache tableId="3" column="14"/>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mple_ID" xr10:uid="{B7F5736B-299E-43FC-8690-EE75CDB78339}" sourceName="Sample ID">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5CC1BB86-833D-4C01-9AD2-1DF0614186FB}" cache="Slicer_Brand" caption="Brand" style="SlicerStyleLight2" rowHeight="257175"/>
  <slicer name="Unique Product Name 1" xr10:uid="{730ADA4B-35A2-48A0-94BF-3B5355116ED9}" cache="Slicer_Unique_Product_Name1" caption="Unique Product Name" style="SlicerStyleLight2" rowHeight="257175"/>
  <slicer name="Color" xr10:uid="{812E39AF-7CC3-4AA9-833E-56FEFD381AEE}" cache="Slicer_Color" caption="Color" style="SlicerStyleLight2" rowHeight="257175"/>
  <slicer name="Sheen" xr10:uid="{0B77CD36-1622-43A4-9285-483428368976}" cache="Slicer_Sheen" caption="Sheen" style="SlicerStyleLight2" rowHeight="257175"/>
  <slicer name="Purchase Year" xr10:uid="{14D22E0F-A509-40AE-AADE-0D41B65A0AD6}" cache="Slicer_Purchase_Year" caption="Purchase Year" style="SlicerStyleLight2" rowHeight="257175"/>
  <slicer name="Performance" xr10:uid="{87B414B9-485D-4F5F-AF6D-E6A85D311A96}" cache="Slicer_Performance" caption="Performance" style="SlicerStyleLight2" rowHeight="257175"/>
  <slicer name="Application" xr10:uid="{66B526BB-6785-4DE5-AEB4-1AC147BBED08}" cache="Slicer_Application" caption="Application" style="SlicerStyleLigh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st" xr10:uid="{7C4297B3-8D25-465F-876A-B95D575B21D3}" cache="Slicer_Test" caption="Test" style="SlicerStyleLight2" rowHeight="257175"/>
  <slicer name="ASTM" xr10:uid="{CF6D3095-17EA-4E4D-A437-3684F3F34599}" cache="Slicer_ASTM" caption="ASTM" style="SlicerStyleLight2" rowHeight="257175"/>
  <slicer name="Test Name" xr10:uid="{AED64885-B37C-4A04-A19B-3515EAC04C9C}" cache="Slicer_Test_Name" caption="Test Name" style="SlicerStyleLight2" rowHeight="257175"/>
  <slicer name="Time" xr10:uid="{C3D2DA95-68CA-4369-9879-F8A6C40E4423}" cache="Slicer_Time" caption="Time" style="SlicerStyleLight2" rowHeight="257175"/>
  <slicer name="Property" xr10:uid="{15646326-7721-4638-BB6E-45C5D9EE2108}" cache="Slicer_Property" caption="Property" style="SlicerStyleLight2"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st Name 1" xr10:uid="{EF76962E-8DDD-40A2-88E2-4E62BF792DB3}" cache="Slicer_Test_Name1" caption="Test Name" style="SlicerStyleLight2" rowHeight="257175"/>
  <slicer name="Time 1" xr10:uid="{1B79CAA6-90F5-4EDF-915C-CB89A1AB158E}" cache="Slicer_Time1" caption="Time" style="SlicerStyleLight2" rowHeight="257175"/>
  <slicer name="Property 1" xr10:uid="{DB936CE2-8272-4B8C-8F05-929DED4B33BB}" cache="Slicer_Property1" caption="Property" style="SlicerStyleLight2" rowHeight="257175"/>
  <slicer name="Sample ID" xr10:uid="{AF52B08C-B72F-4633-A4DA-05AE5C4CB520}" cache="Slicer_Sample_ID" caption="Sample ID" style="SlicerStyleLight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86E79C-60C5-4914-B621-7971689131D2}" name="Table19" displayName="Table19" ref="B12:D13" totalsRowShown="0" dataDxfId="41">
  <autoFilter ref="B12:D13" xr:uid="{0F86E79C-60C5-4914-B621-7971689131D2}"/>
  <tableColumns count="3">
    <tableColumn id="1" xr3:uid="{B517E837-5582-4D34-9DBE-FE81EF0BD58C}" name="PDL ID" dataDxfId="40"/>
    <tableColumn id="2" xr3:uid="{3C693DAE-72FC-47ED-9BB1-FBC93628BF62}" name="Bond ID" dataDxfId="39"/>
    <tableColumn id="3" xr3:uid="{A38AC41F-0A48-47D9-971A-2791490DECFB}" name="PDL Category" dataDxfId="38"/>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0BCB49-74F7-4154-9C87-2C93EF4AA566}" name="ProductDatabase" displayName="ProductDatabase" ref="A25:P51" tableType="queryTable" totalsRowShown="0">
  <autoFilter ref="A25:P51" xr:uid="{130BCB49-74F7-4154-9C87-2C93EF4AA566}">
    <filterColumn colId="2">
      <filters>
        <filter val="Exterior"/>
      </filters>
    </filterColumn>
    <filterColumn colId="4">
      <filters>
        <filter val="Gloss"/>
      </filters>
    </filterColumn>
    <filterColumn colId="5">
      <filters>
        <filter val="Weathering - Dark Blue"/>
      </filters>
    </filterColumn>
  </autoFilter>
  <tableColumns count="16">
    <tableColumn id="1" xr3:uid="{A3E15086-C944-47EB-B514-4A3B87DDD9D3}" uniqueName="1" name="Brand" queryTableFieldId="1" dataDxfId="37"/>
    <tableColumn id="2" xr3:uid="{70F3A9DC-6E29-434A-AF7A-F791A019DA61}" uniqueName="2" name="Product" queryTableFieldId="2" dataDxfId="36"/>
    <tableColumn id="3" xr3:uid="{860CB342-F400-4F7A-82B6-D65EDB69EB14}" uniqueName="3" name="Application" queryTableFieldId="3" dataDxfId="35"/>
    <tableColumn id="4" xr3:uid="{4972EFDA-99A6-49F5-BDFF-641F45895EA9}" uniqueName="4" name="Performance" queryTableFieldId="4" dataDxfId="34"/>
    <tableColumn id="5" xr3:uid="{0A9A692F-D1D7-47B2-93F7-FFCEE62BA76E}" uniqueName="5" name="Sheen" queryTableFieldId="5" dataDxfId="33"/>
    <tableColumn id="6" xr3:uid="{84406E3E-87EA-4C29-BF76-743741A71FD6}" uniqueName="6" name="Color" queryTableFieldId="6" dataDxfId="32"/>
    <tableColumn id="7" xr3:uid="{4911D30E-2D4D-4F98-88CA-4950A16F2AC9}" uniqueName="7" name="Base" queryTableFieldId="7" dataDxfId="31"/>
    <tableColumn id="8" xr3:uid="{A9647773-14D3-45B5-83BB-40C3F31216CC}" uniqueName="8" name="Base Sort" queryTableFieldId="8"/>
    <tableColumn id="9" xr3:uid="{610BF06A-49E4-4FC6-970B-A59E689913FA}" uniqueName="9" name="Purchase Year" queryTableFieldId="9"/>
    <tableColumn id="10" xr3:uid="{AAA08D89-B19B-4215-BA93-177392466127}" uniqueName="10" name="Unique Product Name" queryTableFieldId="10" dataDxfId="30"/>
    <tableColumn id="12" xr3:uid="{3AB47E49-0990-4EE1-A2CA-077A1AE287E4}" uniqueName="12" name="Duplicate?" queryTableFieldId="13"/>
    <tableColumn id="11" xr3:uid="{1E495AE3-0ED5-4E99-8E97-28DBA78C7A4F}" uniqueName="11" name="Product ID" queryTableFieldId="11" dataDxfId="29"/>
    <tableColumn id="13" xr3:uid="{0A019A4E-A63B-4344-9953-354E6B0ACD9E}" uniqueName="13" name="Sort Position" queryTableFieldId="14"/>
    <tableColumn id="14" xr3:uid="{12541B9A-57BA-48CC-A799-5180DF1D3F44}" uniqueName="14" name="WPG" queryTableFieldId="15"/>
    <tableColumn id="15" xr3:uid="{82D6335B-498D-4D2F-A5EF-3BF23BC7D36D}" uniqueName="15" name="Weight Solids" queryTableFieldId="16"/>
    <tableColumn id="18" xr3:uid="{4BCB22CC-D332-45B8-8227-400FD5309B35}" uniqueName="18" name="Visible" queryTableFieldId="20" dataDxfId="28">
      <calculatedColumnFormula>SUBTOTAL(103,ProductDatabase[[#This Row],[Weight Solids]])</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01A678-6B57-49F8-A227-18F15ADDDBD2}" name="WeatheringTestDirectory" displayName="WeatheringTestDirectory" ref="A24:J82" tableType="queryTable" totalsRowShown="0">
  <autoFilter ref="A24:J82" xr:uid="{3101A678-6B57-49F8-A227-18F15ADDDBD2}">
    <filterColumn colId="1">
      <filters>
        <filter val="QUV"/>
      </filters>
    </filterColumn>
    <filterColumn colId="4">
      <filters>
        <filter val="0"/>
        <filter val="1000"/>
        <filter val="12"/>
        <filter val="15"/>
        <filter val="1500"/>
        <filter val="18"/>
        <filter val="2000"/>
        <filter val="21"/>
        <filter val="24"/>
        <filter val="3"/>
        <filter val="500"/>
        <filter val="6"/>
        <filter val="9"/>
      </filters>
    </filterColumn>
  </autoFilter>
  <tableColumns count="10">
    <tableColumn id="1" xr3:uid="{5EF2CE32-0EF1-4571-B856-F3E7700B332B}" uniqueName="1" name="Weathering ID" queryTableFieldId="1"/>
    <tableColumn id="2" xr3:uid="{22E8689D-A2E0-4C6C-BA62-E76E25DAA132}" uniqueName="2" name="Test" queryTableFieldId="2"/>
    <tableColumn id="3" xr3:uid="{E35841E8-D1DE-4487-B05E-530C0542BA18}" uniqueName="3" name="ASTM" queryTableFieldId="3"/>
    <tableColumn id="4" xr3:uid="{ACF41305-7840-46E9-9FB5-0FDD1C12F272}" uniqueName="4" name="Test Name" queryTableFieldId="4"/>
    <tableColumn id="5" xr3:uid="{A86265B9-7D68-4D93-BE47-6FC60DB14657}" uniqueName="5" name="Time" queryTableFieldId="5"/>
    <tableColumn id="6" xr3:uid="{62B05CD1-391A-4D02-A6AF-BC2970F13AF3}" uniqueName="6" name="Time Unit" queryTableFieldId="6"/>
    <tableColumn id="7" xr3:uid="{22CCE95B-FFCA-4E77-A4C8-9EF92B135F75}" uniqueName="7" name="Coats" queryTableFieldId="7"/>
    <tableColumn id="8" xr3:uid="{80456089-AC29-4155-BFC0-17D7330C3547}" uniqueName="8" name="Substrate" queryTableFieldId="8"/>
    <tableColumn id="9" xr3:uid="{13E7603B-262F-423E-AF74-9B4F69571E7C}" uniqueName="9" name="Property" queryTableFieldId="9"/>
    <tableColumn id="10" xr3:uid="{920BAAA0-BFE4-48A6-9223-E1AF390E48F4}" uniqueName="10" name="Visible" queryTableFieldId="10" dataDxfId="44">
      <calculatedColumnFormula>SUBTOTAL(103,WeatheringTestDirectory[[#This Row],[Weathering ID]])</calculatedColumn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761720-B469-45D7-966C-DF99EF5541D2}" name="FinalTestGrid" displayName="FinalTestGrid" ref="A15:AA33" tableType="queryTable" totalsRowShown="0" dataDxfId="27">
  <autoFilter ref="A15:AA33" xr:uid="{45761720-B469-45D7-966C-DF99EF5541D2}">
    <filterColumn colId="1">
      <filters>
        <filter val="23-00111-2"/>
      </filters>
    </filterColumn>
    <filterColumn colId="13">
      <filters>
        <filter val="Gloss-20"/>
      </filters>
    </filterColumn>
  </autoFilter>
  <tableColumns count="27">
    <tableColumn id="1" xr3:uid="{9C66C0E5-873E-4FBF-BC40-17958E7A42FB}" uniqueName="1" name="PDL ID" queryTableFieldId="1" dataDxfId="26"/>
    <tableColumn id="2" xr3:uid="{27B12196-FE99-4DFC-A8F2-92EB594FE98F}" uniqueName="2" name="Sample ID" queryTableFieldId="2" dataDxfId="25"/>
    <tableColumn id="3" xr3:uid="{6D1D1C3A-1B70-4A73-8F97-649C42CB8011}" uniqueName="3" name="Sheen" queryTableFieldId="3" dataDxfId="24"/>
    <tableColumn id="4" xr3:uid="{6E51DF62-C566-4DE8-A3C3-5EC72A4F8A42}" uniqueName="4" name="Color" queryTableFieldId="4" dataDxfId="23"/>
    <tableColumn id="5" xr3:uid="{0C1BE032-DD6D-453A-87A1-571159E0D891}" uniqueName="5" name="Base" queryTableFieldId="5" dataDxfId="22"/>
    <tableColumn id="6" xr3:uid="{183D5203-4AE3-4529-B871-14B130165A7E}" uniqueName="6" name="Unique Product Name" queryTableFieldId="6" dataDxfId="21"/>
    <tableColumn id="7" xr3:uid="{B274D71E-D9FD-4841-8BBB-FB2CEB245307}" uniqueName="7" name="Product ID" queryTableFieldId="7" dataDxfId="20"/>
    <tableColumn id="8" xr3:uid="{0356E472-151E-4BDE-A183-E79EE567E58A}" uniqueName="8" name="Weathering ID" queryTableFieldId="8" dataDxfId="19"/>
    <tableColumn id="9" xr3:uid="{0EF81D9F-69BE-43F6-8D0A-2F99F0A01726}" uniqueName="9" name="Test" queryTableFieldId="9" dataDxfId="18"/>
    <tableColumn id="10" xr3:uid="{764D7593-4B57-402B-828F-731877E51DE6}" uniqueName="10" name="ASTM" queryTableFieldId="10" dataDxfId="17"/>
    <tableColumn id="11" xr3:uid="{9463A443-CD6E-4DA0-8AEB-DDFF7CAB4ACD}" uniqueName="11" name="Test Name" queryTableFieldId="11" dataDxfId="16"/>
    <tableColumn id="12" xr3:uid="{872031E0-A8A0-46F1-97DD-1D5E79B3EA94}" uniqueName="12" name="Time" queryTableFieldId="12" dataDxfId="15"/>
    <tableColumn id="13" xr3:uid="{B5A9E5C2-646C-4A7F-9C88-98514C878C57}" uniqueName="13" name="Time Unit" queryTableFieldId="13" dataDxfId="14"/>
    <tableColumn id="14" xr3:uid="{02F34455-75B2-44AD-8DC4-2A76DD20B80A}" uniqueName="14" name="Property" queryTableFieldId="14" dataDxfId="13"/>
    <tableColumn id="26" xr3:uid="{9752FB68-6ACD-4EEB-963B-C510E6C215B4}" uniqueName="26" name="Merged" queryTableFieldId="26" dataDxfId="12"/>
    <tableColumn id="28" xr3:uid="{5895B7CA-79F7-4EB6-BF78-70B75E77E555}" uniqueName="28" name="Preparation Date" queryTableFieldId="28" dataDxfId="11"/>
    <tableColumn id="29" xr3:uid="{E846F2C5-5E07-4312-82B8-5D180DCEFA03}" uniqueName="29" name="Start of Exposure" queryTableFieldId="29" dataDxfId="10"/>
    <tableColumn id="30" xr3:uid="{95C7F64F-BABE-479D-840F-B5CA42D63FD2}" uniqueName="30" name="End of Exposure" queryTableFieldId="30" dataDxfId="9"/>
    <tableColumn id="31" xr3:uid="{690DD36A-A612-4F8B-BFE8-2766C87EC61B}" uniqueName="31" name="Initial Value" queryTableFieldId="31" dataDxfId="8">
      <calculatedColumnFormula>IF(FinalTestGrid[[#This Row],[Property]]="Color Change E","Not Required","")</calculatedColumnFormula>
    </tableColumn>
    <tableColumn id="32" xr3:uid="{F9F8F3F4-A1EE-4071-AFA1-5ACE1A60FB87}" uniqueName="32" name="Exposure Value" queryTableFieldId="32" dataDxfId="7"/>
    <tableColumn id="33" xr3:uid="{E27E5FD8-944C-4085-A152-DC18B2B70430}" uniqueName="33" name="Step Change in Value" queryTableFieldId="33" dataDxfId="6">
      <calculatedColumnFormula array="1">IFERROR(_xlfn.SWITCH(TRUE,FinalTestGrid[[#This Row],[Property]]="Color Change E",(T16-T15),FinalTestGrid[[#This Row],[Time]]=0,0,(T16-T15)/T15*100),"")</calculatedColumnFormula>
    </tableColumn>
    <tableColumn id="39" xr3:uid="{C37B6656-57D8-4113-B116-3E998CA8F2A0}" uniqueName="39" name="Net Change" queryTableFieldId="39" dataDxfId="5">
      <calculatedColumnFormula array="1">IFERROR(_xlfn.SWITCH(TRUE,FinalTestGrid[[#This Row],[Property]]="Color Change E",T16,FinalTestGrid[[#This Row],[Time]]=0,0,(FinalTestGrid[[#This Row],[Exposure Value]]-FinalTestGrid[[#This Row],[Initial Value]])/FinalTestGrid[[#This Row],[Initial Value]]*100),"")</calculatedColumnFormula>
    </tableColumn>
    <tableColumn id="34" xr3:uid="{0B035976-82E0-4E75-8E3D-90C8FD27A270}" uniqueName="34" name="Rating" queryTableFieldId="34" dataDxfId="4"/>
    <tableColumn id="35" xr3:uid="{7712AF44-87A8-4E0F-A2A5-C60BB61C03A0}" uniqueName="35" name="Panel Prep Operator" queryTableFieldId="35" dataDxfId="3"/>
    <tableColumn id="36" xr3:uid="{83D9A6F4-4482-42A9-8E5E-73BB62311790}" uniqueName="36" name="Readings Operator" queryTableFieldId="36" dataDxfId="2"/>
    <tableColumn id="37" xr3:uid="{557FFBBB-BEF6-4F02-9C8D-71F28C598AA7}" uniqueName="37" name="Device ID" queryTableFieldId="37" dataDxfId="1"/>
    <tableColumn id="38" xr3:uid="{F92E45CF-627E-43B8-8B6E-06A5C34EB310}" uniqueName="38" name="Exposure Equipment ID" queryTableFieldId="38"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microsoft.com/office/2007/relationships/slicer" Target="../slicers/slicer3.xml"/><Relationship Id="rId5" Type="http://schemas.openxmlformats.org/officeDocument/2006/relationships/table" Target="../tables/table4.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008A6-547A-475E-AB20-EB74EDEF31E1}">
  <sheetPr codeName="Sheet4"/>
  <dimension ref="A1:W8"/>
  <sheetViews>
    <sheetView topLeftCell="A4" workbookViewId="0">
      <selection sqref="A1:W8"/>
    </sheetView>
  </sheetViews>
  <sheetFormatPr defaultRowHeight="15" x14ac:dyDescent="0.25"/>
  <cols>
    <col min="1" max="16384" width="9.140625" style="9"/>
  </cols>
  <sheetData>
    <row r="1" spans="1:23" ht="15" customHeight="1" x14ac:dyDescent="0.25">
      <c r="A1" s="12" t="s">
        <v>196</v>
      </c>
      <c r="B1" s="12"/>
      <c r="C1" s="12"/>
      <c r="D1" s="12"/>
      <c r="E1" s="12"/>
      <c r="F1" s="12"/>
      <c r="G1" s="12"/>
      <c r="H1" s="12"/>
      <c r="I1" s="12"/>
      <c r="J1" s="12"/>
      <c r="K1" s="12"/>
      <c r="L1" s="12"/>
      <c r="M1" s="12"/>
      <c r="N1" s="12"/>
      <c r="O1" s="12"/>
      <c r="P1" s="12"/>
      <c r="Q1" s="12"/>
      <c r="R1" s="12"/>
      <c r="S1" s="12"/>
      <c r="T1" s="12"/>
      <c r="U1" s="12"/>
      <c r="V1" s="12"/>
      <c r="W1" s="12"/>
    </row>
    <row r="2" spans="1:23" x14ac:dyDescent="0.25">
      <c r="A2" s="12"/>
      <c r="B2" s="12"/>
      <c r="C2" s="12"/>
      <c r="D2" s="12"/>
      <c r="E2" s="12"/>
      <c r="F2" s="12"/>
      <c r="G2" s="12"/>
      <c r="H2" s="12"/>
      <c r="I2" s="12"/>
      <c r="J2" s="12"/>
      <c r="K2" s="12"/>
      <c r="L2" s="12"/>
      <c r="M2" s="12"/>
      <c r="N2" s="12"/>
      <c r="O2" s="12"/>
      <c r="P2" s="12"/>
      <c r="Q2" s="12"/>
      <c r="R2" s="12"/>
      <c r="S2" s="12"/>
      <c r="T2" s="12"/>
      <c r="U2" s="12"/>
      <c r="V2" s="12"/>
      <c r="W2" s="12"/>
    </row>
    <row r="3" spans="1:23" x14ac:dyDescent="0.25">
      <c r="A3" s="12"/>
      <c r="B3" s="12"/>
      <c r="C3" s="12"/>
      <c r="D3" s="12"/>
      <c r="E3" s="12"/>
      <c r="F3" s="12"/>
      <c r="G3" s="12"/>
      <c r="H3" s="12"/>
      <c r="I3" s="12"/>
      <c r="J3" s="12"/>
      <c r="K3" s="12"/>
      <c r="L3" s="12"/>
      <c r="M3" s="12"/>
      <c r="N3" s="12"/>
      <c r="O3" s="12"/>
      <c r="P3" s="12"/>
      <c r="Q3" s="12"/>
      <c r="R3" s="12"/>
      <c r="S3" s="12"/>
      <c r="T3" s="12"/>
      <c r="U3" s="12"/>
      <c r="V3" s="12"/>
      <c r="W3" s="12"/>
    </row>
    <row r="4" spans="1:23" x14ac:dyDescent="0.25">
      <c r="A4" s="12"/>
      <c r="B4" s="12"/>
      <c r="C4" s="12"/>
      <c r="D4" s="12"/>
      <c r="E4" s="12"/>
      <c r="F4" s="12"/>
      <c r="G4" s="12"/>
      <c r="H4" s="12"/>
      <c r="I4" s="12"/>
      <c r="J4" s="12"/>
      <c r="K4" s="12"/>
      <c r="L4" s="12"/>
      <c r="M4" s="12"/>
      <c r="N4" s="12"/>
      <c r="O4" s="12"/>
      <c r="P4" s="12"/>
      <c r="Q4" s="12"/>
      <c r="R4" s="12"/>
      <c r="S4" s="12"/>
      <c r="T4" s="12"/>
      <c r="U4" s="12"/>
      <c r="V4" s="12"/>
      <c r="W4" s="12"/>
    </row>
    <row r="5" spans="1:23" x14ac:dyDescent="0.25">
      <c r="A5" s="12"/>
      <c r="B5" s="12"/>
      <c r="C5" s="12"/>
      <c r="D5" s="12"/>
      <c r="E5" s="12"/>
      <c r="F5" s="12"/>
      <c r="G5" s="12"/>
      <c r="H5" s="12"/>
      <c r="I5" s="12"/>
      <c r="J5" s="12"/>
      <c r="K5" s="12"/>
      <c r="L5" s="12"/>
      <c r="M5" s="12"/>
      <c r="N5" s="12"/>
      <c r="O5" s="12"/>
      <c r="P5" s="12"/>
      <c r="Q5" s="12"/>
      <c r="R5" s="12"/>
      <c r="S5" s="12"/>
      <c r="T5" s="12"/>
      <c r="U5" s="12"/>
      <c r="V5" s="12"/>
      <c r="W5" s="12"/>
    </row>
    <row r="6" spans="1:23" x14ac:dyDescent="0.25">
      <c r="A6" s="12"/>
      <c r="B6" s="12"/>
      <c r="C6" s="12"/>
      <c r="D6" s="12"/>
      <c r="E6" s="12"/>
      <c r="F6" s="12"/>
      <c r="G6" s="12"/>
      <c r="H6" s="12"/>
      <c r="I6" s="12"/>
      <c r="J6" s="12"/>
      <c r="K6" s="12"/>
      <c r="L6" s="12"/>
      <c r="M6" s="12"/>
      <c r="N6" s="12"/>
      <c r="O6" s="12"/>
      <c r="P6" s="12"/>
      <c r="Q6" s="12"/>
      <c r="R6" s="12"/>
      <c r="S6" s="12"/>
      <c r="T6" s="12"/>
      <c r="U6" s="12"/>
      <c r="V6" s="12"/>
      <c r="W6" s="12"/>
    </row>
    <row r="7" spans="1:23" x14ac:dyDescent="0.25">
      <c r="A7" s="12"/>
      <c r="B7" s="12"/>
      <c r="C7" s="12"/>
      <c r="D7" s="12"/>
      <c r="E7" s="12"/>
      <c r="F7" s="12"/>
      <c r="G7" s="12"/>
      <c r="H7" s="12"/>
      <c r="I7" s="12"/>
      <c r="J7" s="12"/>
      <c r="K7" s="12"/>
      <c r="L7" s="12"/>
      <c r="M7" s="12"/>
      <c r="N7" s="12"/>
      <c r="O7" s="12"/>
      <c r="P7" s="12"/>
      <c r="Q7" s="12"/>
      <c r="R7" s="12"/>
      <c r="S7" s="12"/>
      <c r="T7" s="12"/>
      <c r="U7" s="12"/>
      <c r="V7" s="12"/>
      <c r="W7" s="12"/>
    </row>
    <row r="8" spans="1:23" x14ac:dyDescent="0.25">
      <c r="A8" s="12"/>
      <c r="B8" s="12"/>
      <c r="C8" s="12"/>
      <c r="D8" s="12"/>
      <c r="E8" s="12"/>
      <c r="F8" s="12"/>
      <c r="G8" s="12"/>
      <c r="H8" s="12"/>
      <c r="I8" s="12"/>
      <c r="J8" s="12"/>
      <c r="K8" s="12"/>
      <c r="L8" s="12"/>
      <c r="M8" s="12"/>
      <c r="N8" s="12"/>
      <c r="O8" s="12"/>
      <c r="P8" s="12"/>
      <c r="Q8" s="12"/>
      <c r="R8" s="12"/>
      <c r="S8" s="12"/>
      <c r="T8" s="12"/>
      <c r="U8" s="12"/>
      <c r="V8" s="12"/>
      <c r="W8" s="12"/>
    </row>
  </sheetData>
  <mergeCells count="1">
    <mergeCell ref="A1:W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711D3-F513-47C1-B311-40EEAEF38F91}">
  <sheetPr codeName="Sheet1"/>
  <dimension ref="A8:AL51"/>
  <sheetViews>
    <sheetView showGridLines="0" workbookViewId="0">
      <selection activeCell="F61" sqref="F61"/>
    </sheetView>
  </sheetViews>
  <sheetFormatPr defaultRowHeight="15" x14ac:dyDescent="0.25"/>
  <cols>
    <col min="1" max="1" width="8.42578125" bestFit="1" customWidth="1"/>
    <col min="2" max="2" width="14.42578125" customWidth="1"/>
    <col min="3" max="3" width="13.42578125" bestFit="1" customWidth="1"/>
    <col min="4" max="4" width="26.7109375" customWidth="1"/>
    <col min="5" max="5" width="21" customWidth="1"/>
    <col min="6" max="6" width="44.5703125" customWidth="1"/>
    <col min="7" max="7" width="8.5703125" bestFit="1" customWidth="1"/>
    <col min="8" max="8" width="11.7109375" hidden="1" customWidth="1"/>
    <col min="9" max="9" width="16.140625" bestFit="1" customWidth="1"/>
    <col min="10" max="10" width="49.5703125" bestFit="1" customWidth="1"/>
    <col min="11" max="11" width="13" hidden="1" customWidth="1"/>
    <col min="12" max="12" width="12.7109375" hidden="1" customWidth="1"/>
    <col min="13" max="13" width="14.85546875" hidden="1" customWidth="1"/>
    <col min="14" max="14" width="7.7109375" hidden="1" customWidth="1"/>
    <col min="15" max="15" width="15.85546875" hidden="1" customWidth="1"/>
    <col min="16" max="16" width="9.42578125" hidden="1" customWidth="1"/>
    <col min="17" max="17" width="81.140625" bestFit="1" customWidth="1"/>
    <col min="18" max="18" width="9.42578125" bestFit="1" customWidth="1"/>
    <col min="19" max="19" width="17.42578125" bestFit="1" customWidth="1"/>
    <col min="20" max="20" width="12.85546875" customWidth="1"/>
    <col min="21" max="21" width="12.42578125" customWidth="1"/>
    <col min="22" max="22" width="8.42578125" customWidth="1"/>
    <col min="23" max="23" width="10.7109375" customWidth="1"/>
    <col min="24" max="24" width="13.42578125" customWidth="1"/>
    <col min="25" max="25" width="14.85546875" customWidth="1"/>
    <col min="26" max="26" width="9" customWidth="1"/>
    <col min="27" max="27" width="13" customWidth="1"/>
    <col min="28" max="28" width="12" customWidth="1"/>
    <col min="29" max="29" width="14.85546875" customWidth="1"/>
    <col min="30" max="30" width="7.7109375" customWidth="1"/>
    <col min="31" max="31" width="15.85546875" customWidth="1"/>
    <col min="32" max="32" width="7.5703125" customWidth="1"/>
    <col min="33" max="33" width="11.7109375" customWidth="1"/>
    <col min="34" max="34" width="16.140625" customWidth="1"/>
    <col min="35" max="35" width="9.42578125" customWidth="1"/>
    <col min="36" max="36" width="36.28515625" customWidth="1"/>
    <col min="37" max="37" width="12.7109375" customWidth="1"/>
    <col min="38" max="38" width="9.42578125" bestFit="1" customWidth="1"/>
    <col min="39" max="39" width="11.7109375" bestFit="1" customWidth="1"/>
    <col min="40" max="40" width="14.42578125" customWidth="1"/>
    <col min="41" max="41" width="12.85546875" customWidth="1"/>
  </cols>
  <sheetData>
    <row r="8" spans="2:23" ht="15" customHeight="1" x14ac:dyDescent="0.25">
      <c r="F8" s="7"/>
      <c r="G8" s="7"/>
      <c r="H8" s="8"/>
    </row>
    <row r="9" spans="2:23" ht="15" customHeight="1" x14ac:dyDescent="0.25">
      <c r="F9" s="7"/>
      <c r="G9" s="7"/>
      <c r="H9" s="8"/>
      <c r="V9" s="2"/>
    </row>
    <row r="10" spans="2:23" ht="15" customHeight="1" x14ac:dyDescent="0.25">
      <c r="G10" s="7"/>
      <c r="H10" s="7"/>
      <c r="I10" s="8"/>
      <c r="W10" s="2"/>
    </row>
    <row r="12" spans="2:23" x14ac:dyDescent="0.25">
      <c r="B12" t="s">
        <v>17</v>
      </c>
      <c r="C12" t="s">
        <v>23</v>
      </c>
      <c r="D12" t="s">
        <v>19</v>
      </c>
    </row>
    <row r="13" spans="2:23" x14ac:dyDescent="0.25">
      <c r="B13" s="11" t="s">
        <v>195</v>
      </c>
      <c r="C13" s="4">
        <v>1</v>
      </c>
      <c r="D13" s="10" t="s">
        <v>117</v>
      </c>
    </row>
    <row r="22" spans="1:38" x14ac:dyDescent="0.25">
      <c r="U22" s="2"/>
    </row>
    <row r="23" spans="1:38" x14ac:dyDescent="0.25">
      <c r="U23" s="2"/>
    </row>
    <row r="25" spans="1:38" x14ac:dyDescent="0.25">
      <c r="A25" t="s">
        <v>3</v>
      </c>
      <c r="B25" t="s">
        <v>4</v>
      </c>
      <c r="C25" t="s">
        <v>11</v>
      </c>
      <c r="D25" t="s">
        <v>5</v>
      </c>
      <c r="E25" t="s">
        <v>7</v>
      </c>
      <c r="F25" t="s">
        <v>8</v>
      </c>
      <c r="G25" t="s">
        <v>20</v>
      </c>
      <c r="H25" t="s">
        <v>47</v>
      </c>
      <c r="I25" t="s">
        <v>14</v>
      </c>
      <c r="J25" t="s">
        <v>34</v>
      </c>
      <c r="K25" t="s">
        <v>139</v>
      </c>
      <c r="L25" t="s">
        <v>40</v>
      </c>
      <c r="M25" t="s">
        <v>140</v>
      </c>
      <c r="N25" t="s">
        <v>141</v>
      </c>
      <c r="O25" t="s">
        <v>142</v>
      </c>
      <c r="P25" t="s">
        <v>48</v>
      </c>
    </row>
    <row r="26" spans="1:38" hidden="1" x14ac:dyDescent="0.25">
      <c r="A26" t="s">
        <v>2</v>
      </c>
      <c r="B26" t="s">
        <v>28</v>
      </c>
      <c r="C26" t="s">
        <v>12</v>
      </c>
      <c r="D26" t="s">
        <v>6</v>
      </c>
      <c r="E26" t="s">
        <v>9</v>
      </c>
      <c r="F26" t="s">
        <v>10</v>
      </c>
      <c r="G26" t="s">
        <v>26</v>
      </c>
      <c r="H26">
        <v>1</v>
      </c>
      <c r="I26">
        <v>2025</v>
      </c>
      <c r="J26" s="2" t="s">
        <v>31</v>
      </c>
      <c r="K26" t="s">
        <v>143</v>
      </c>
      <c r="L26" s="2" t="s">
        <v>15</v>
      </c>
      <c r="M26">
        <v>2</v>
      </c>
      <c r="N26">
        <v>11.8</v>
      </c>
      <c r="O26">
        <v>0.3</v>
      </c>
      <c r="P26">
        <f>SUBTOTAL(103,ProductDatabase[[#This Row],[Weight Solids]])</f>
        <v>0</v>
      </c>
    </row>
    <row r="27" spans="1:38" hidden="1" x14ac:dyDescent="0.25">
      <c r="A27" t="s">
        <v>2</v>
      </c>
      <c r="B27" t="s">
        <v>28</v>
      </c>
      <c r="C27" t="s">
        <v>12</v>
      </c>
      <c r="D27" t="s">
        <v>6</v>
      </c>
      <c r="E27" t="s">
        <v>9</v>
      </c>
      <c r="F27" t="s">
        <v>16</v>
      </c>
      <c r="G27" t="s">
        <v>30</v>
      </c>
      <c r="H27">
        <v>2</v>
      </c>
      <c r="I27">
        <v>2025</v>
      </c>
      <c r="J27" s="2" t="s">
        <v>35</v>
      </c>
      <c r="K27" t="s">
        <v>143</v>
      </c>
      <c r="L27" s="2" t="s">
        <v>21</v>
      </c>
      <c r="M27">
        <v>2</v>
      </c>
      <c r="N27">
        <v>11.65</v>
      </c>
      <c r="O27">
        <v>0.3</v>
      </c>
      <c r="P27">
        <f>SUBTOTAL(103,ProductDatabase[[#This Row],[Weight Solids]])</f>
        <v>0</v>
      </c>
      <c r="AE27" s="1"/>
      <c r="AF27" s="1"/>
      <c r="AG27" s="1"/>
      <c r="AH27" s="1"/>
      <c r="AI27" s="1"/>
      <c r="AJ27" s="1"/>
      <c r="AK27" s="1"/>
      <c r="AL27" s="1"/>
    </row>
    <row r="28" spans="1:38" hidden="1" x14ac:dyDescent="0.25">
      <c r="A28" t="s">
        <v>2</v>
      </c>
      <c r="B28" t="s">
        <v>28</v>
      </c>
      <c r="C28" t="s">
        <v>12</v>
      </c>
      <c r="D28" t="s">
        <v>6</v>
      </c>
      <c r="E28" t="s">
        <v>9</v>
      </c>
      <c r="F28" t="s">
        <v>24</v>
      </c>
      <c r="G28" t="s">
        <v>29</v>
      </c>
      <c r="H28">
        <v>3</v>
      </c>
      <c r="I28">
        <v>2025</v>
      </c>
      <c r="J28" s="2" t="s">
        <v>36</v>
      </c>
      <c r="K28" t="s">
        <v>143</v>
      </c>
      <c r="L28" s="2" t="s">
        <v>22</v>
      </c>
      <c r="M28">
        <v>2</v>
      </c>
      <c r="N28">
        <v>11.23</v>
      </c>
      <c r="O28">
        <v>0.3</v>
      </c>
      <c r="P28">
        <f>SUBTOTAL(103,ProductDatabase[[#This Row],[Weight Solids]])</f>
        <v>0</v>
      </c>
    </row>
    <row r="29" spans="1:38" hidden="1" x14ac:dyDescent="0.25">
      <c r="A29" t="s">
        <v>2</v>
      </c>
      <c r="B29" t="s">
        <v>28</v>
      </c>
      <c r="C29" t="s">
        <v>12</v>
      </c>
      <c r="D29" t="s">
        <v>6</v>
      </c>
      <c r="E29" t="s">
        <v>9</v>
      </c>
      <c r="F29" t="s">
        <v>144</v>
      </c>
      <c r="G29" t="s">
        <v>29</v>
      </c>
      <c r="H29">
        <v>3</v>
      </c>
      <c r="I29">
        <v>2025</v>
      </c>
      <c r="J29" s="2" t="s">
        <v>145</v>
      </c>
      <c r="K29" t="s">
        <v>143</v>
      </c>
      <c r="L29" s="2" t="s">
        <v>146</v>
      </c>
      <c r="M29">
        <v>2</v>
      </c>
      <c r="N29">
        <v>10.18</v>
      </c>
      <c r="O29">
        <v>0.3</v>
      </c>
      <c r="P29">
        <f>SUBTOTAL(103,ProductDatabase[[#This Row],[Weight Solids]])</f>
        <v>0</v>
      </c>
    </row>
    <row r="30" spans="1:38" hidden="1" x14ac:dyDescent="0.25">
      <c r="A30" t="s">
        <v>51</v>
      </c>
      <c r="B30" t="s">
        <v>52</v>
      </c>
      <c r="C30" t="s">
        <v>12</v>
      </c>
      <c r="D30" t="s">
        <v>6</v>
      </c>
      <c r="E30" t="s">
        <v>9</v>
      </c>
      <c r="F30" t="s">
        <v>16</v>
      </c>
      <c r="G30" t="s">
        <v>30</v>
      </c>
      <c r="H30">
        <v>1</v>
      </c>
      <c r="I30">
        <v>2025</v>
      </c>
      <c r="J30" s="2" t="s">
        <v>53</v>
      </c>
      <c r="K30" t="s">
        <v>143</v>
      </c>
      <c r="L30" s="2" t="s">
        <v>41</v>
      </c>
      <c r="M30">
        <v>2</v>
      </c>
      <c r="N30">
        <v>11.43</v>
      </c>
      <c r="O30">
        <v>0.3</v>
      </c>
      <c r="P30">
        <f>SUBTOTAL(103,ProductDatabase[[#This Row],[Weight Solids]])</f>
        <v>0</v>
      </c>
    </row>
    <row r="31" spans="1:38" hidden="1" x14ac:dyDescent="0.25">
      <c r="A31" t="s">
        <v>51</v>
      </c>
      <c r="B31" t="s">
        <v>55</v>
      </c>
      <c r="C31" t="s">
        <v>12</v>
      </c>
      <c r="D31" t="s">
        <v>6</v>
      </c>
      <c r="E31" t="s">
        <v>9</v>
      </c>
      <c r="F31" t="s">
        <v>24</v>
      </c>
      <c r="G31" t="s">
        <v>29</v>
      </c>
      <c r="H31">
        <v>3</v>
      </c>
      <c r="I31">
        <v>2025</v>
      </c>
      <c r="J31" s="2" t="s">
        <v>56</v>
      </c>
      <c r="K31" t="s">
        <v>143</v>
      </c>
      <c r="L31" s="2" t="s">
        <v>42</v>
      </c>
      <c r="M31">
        <v>2</v>
      </c>
      <c r="N31">
        <v>10.07</v>
      </c>
      <c r="O31">
        <v>0.3</v>
      </c>
      <c r="P31">
        <f>SUBTOTAL(103,ProductDatabase[[#This Row],[Weight Solids]])</f>
        <v>0</v>
      </c>
    </row>
    <row r="32" spans="1:38" hidden="1" x14ac:dyDescent="0.25">
      <c r="A32" t="s">
        <v>51</v>
      </c>
      <c r="B32" t="s">
        <v>52</v>
      </c>
      <c r="C32" t="s">
        <v>12</v>
      </c>
      <c r="D32" t="s">
        <v>6</v>
      </c>
      <c r="E32" t="s">
        <v>9</v>
      </c>
      <c r="F32" t="s">
        <v>144</v>
      </c>
      <c r="G32" t="s">
        <v>29</v>
      </c>
      <c r="H32">
        <v>3</v>
      </c>
      <c r="I32">
        <v>2025</v>
      </c>
      <c r="J32" s="2" t="s">
        <v>147</v>
      </c>
      <c r="K32" t="s">
        <v>143</v>
      </c>
      <c r="L32" s="2" t="s">
        <v>43</v>
      </c>
      <c r="M32">
        <v>2</v>
      </c>
      <c r="N32">
        <v>10.16</v>
      </c>
      <c r="O32">
        <v>0.3</v>
      </c>
      <c r="P32">
        <f>SUBTOTAL(103,ProductDatabase[[#This Row],[Weight Solids]])</f>
        <v>0</v>
      </c>
    </row>
    <row r="33" spans="1:38" s="1" customFormat="1" hidden="1" x14ac:dyDescent="0.25">
      <c r="A33" t="s">
        <v>51</v>
      </c>
      <c r="B33" t="s">
        <v>55</v>
      </c>
      <c r="C33" t="s">
        <v>12</v>
      </c>
      <c r="D33" t="s">
        <v>6</v>
      </c>
      <c r="E33" t="s">
        <v>9</v>
      </c>
      <c r="F33" t="s">
        <v>144</v>
      </c>
      <c r="G33" t="s">
        <v>29</v>
      </c>
      <c r="H33">
        <v>3</v>
      </c>
      <c r="I33">
        <v>2025</v>
      </c>
      <c r="J33" s="2" t="s">
        <v>148</v>
      </c>
      <c r="K33" t="s">
        <v>143</v>
      </c>
      <c r="L33" s="2" t="s">
        <v>44</v>
      </c>
      <c r="M33">
        <v>2</v>
      </c>
      <c r="N33">
        <v>11.41</v>
      </c>
      <c r="O33">
        <v>0.3</v>
      </c>
      <c r="P33">
        <f>SUBTOTAL(103,ProductDatabase[[#This Row],[Weight Solids]])</f>
        <v>0</v>
      </c>
      <c r="Q33"/>
      <c r="R33"/>
      <c r="S33"/>
      <c r="T33"/>
      <c r="U33"/>
      <c r="V33"/>
      <c r="W33"/>
      <c r="X33"/>
      <c r="Y33"/>
      <c r="Z33"/>
      <c r="AA33"/>
      <c r="AB33"/>
      <c r="AC33"/>
      <c r="AD33"/>
      <c r="AE33"/>
      <c r="AF33"/>
      <c r="AG33"/>
      <c r="AH33"/>
      <c r="AI33"/>
      <c r="AJ33"/>
      <c r="AK33"/>
      <c r="AL33"/>
    </row>
    <row r="34" spans="1:38" hidden="1" x14ac:dyDescent="0.25">
      <c r="A34" t="s">
        <v>0</v>
      </c>
      <c r="B34" t="s">
        <v>27</v>
      </c>
      <c r="C34" t="s">
        <v>12</v>
      </c>
      <c r="D34" t="s">
        <v>6</v>
      </c>
      <c r="E34" t="s">
        <v>9</v>
      </c>
      <c r="F34" t="s">
        <v>10</v>
      </c>
      <c r="G34" t="s">
        <v>26</v>
      </c>
      <c r="H34">
        <v>1</v>
      </c>
      <c r="I34">
        <v>2025</v>
      </c>
      <c r="J34" s="2" t="s">
        <v>39</v>
      </c>
      <c r="K34" t="s">
        <v>143</v>
      </c>
      <c r="L34" s="2" t="s">
        <v>45</v>
      </c>
      <c r="M34">
        <v>2</v>
      </c>
      <c r="N34">
        <v>10.130000000000001</v>
      </c>
      <c r="O34">
        <v>0.3</v>
      </c>
      <c r="P34">
        <f>SUBTOTAL(103,ProductDatabase[[#This Row],[Weight Solids]])</f>
        <v>0</v>
      </c>
    </row>
    <row r="35" spans="1:38" hidden="1" x14ac:dyDescent="0.25">
      <c r="A35" t="s">
        <v>0</v>
      </c>
      <c r="B35" t="s">
        <v>27</v>
      </c>
      <c r="C35" t="s">
        <v>12</v>
      </c>
      <c r="D35" t="s">
        <v>6</v>
      </c>
      <c r="E35" t="s">
        <v>9</v>
      </c>
      <c r="F35" t="s">
        <v>16</v>
      </c>
      <c r="G35" t="s">
        <v>30</v>
      </c>
      <c r="H35">
        <v>2</v>
      </c>
      <c r="I35">
        <v>2025</v>
      </c>
      <c r="J35" s="2" t="s">
        <v>33</v>
      </c>
      <c r="K35" t="s">
        <v>143</v>
      </c>
      <c r="L35" s="2" t="s">
        <v>46</v>
      </c>
      <c r="M35">
        <v>2</v>
      </c>
      <c r="N35">
        <v>10.7</v>
      </c>
      <c r="O35">
        <v>0.3</v>
      </c>
      <c r="P35">
        <f>SUBTOTAL(103,ProductDatabase[[#This Row],[Weight Solids]])</f>
        <v>0</v>
      </c>
    </row>
    <row r="36" spans="1:38" hidden="1" x14ac:dyDescent="0.25">
      <c r="A36" t="s">
        <v>0</v>
      </c>
      <c r="B36" t="s">
        <v>27</v>
      </c>
      <c r="C36" t="s">
        <v>12</v>
      </c>
      <c r="D36" t="s">
        <v>6</v>
      </c>
      <c r="E36" t="s">
        <v>9</v>
      </c>
      <c r="F36" t="s">
        <v>24</v>
      </c>
      <c r="G36" t="s">
        <v>29</v>
      </c>
      <c r="H36">
        <v>3</v>
      </c>
      <c r="I36">
        <v>2025</v>
      </c>
      <c r="J36" s="2" t="s">
        <v>38</v>
      </c>
      <c r="K36" t="s">
        <v>143</v>
      </c>
      <c r="L36" s="2" t="s">
        <v>49</v>
      </c>
      <c r="M36">
        <v>2</v>
      </c>
      <c r="N36">
        <v>11.73</v>
      </c>
      <c r="O36">
        <v>0.3</v>
      </c>
      <c r="P36">
        <f>SUBTOTAL(103,ProductDatabase[[#This Row],[Weight Solids]])</f>
        <v>0</v>
      </c>
    </row>
    <row r="37" spans="1:38" hidden="1" x14ac:dyDescent="0.25">
      <c r="A37" t="s">
        <v>0</v>
      </c>
      <c r="B37" t="s">
        <v>27</v>
      </c>
      <c r="C37" t="s">
        <v>12</v>
      </c>
      <c r="D37" t="s">
        <v>6</v>
      </c>
      <c r="E37" t="s">
        <v>9</v>
      </c>
      <c r="F37" t="s">
        <v>144</v>
      </c>
      <c r="G37" t="s">
        <v>29</v>
      </c>
      <c r="H37">
        <v>3</v>
      </c>
      <c r="I37">
        <v>2025</v>
      </c>
      <c r="J37" s="2" t="s">
        <v>149</v>
      </c>
      <c r="K37" t="s">
        <v>143</v>
      </c>
      <c r="L37" s="2" t="s">
        <v>54</v>
      </c>
      <c r="M37">
        <v>2</v>
      </c>
      <c r="N37">
        <v>10.07</v>
      </c>
      <c r="O37">
        <v>0.3</v>
      </c>
      <c r="P37">
        <f>SUBTOTAL(103,ProductDatabase[[#This Row],[Weight Solids]])</f>
        <v>0</v>
      </c>
    </row>
    <row r="38" spans="1:38" hidden="1" x14ac:dyDescent="0.25">
      <c r="A38" t="s">
        <v>58</v>
      </c>
      <c r="B38" t="s">
        <v>59</v>
      </c>
      <c r="C38" t="s">
        <v>12</v>
      </c>
      <c r="D38" t="s">
        <v>6</v>
      </c>
      <c r="E38" t="s">
        <v>9</v>
      </c>
      <c r="F38" t="s">
        <v>16</v>
      </c>
      <c r="G38" t="s">
        <v>30</v>
      </c>
      <c r="H38">
        <v>2</v>
      </c>
      <c r="I38">
        <v>2025</v>
      </c>
      <c r="J38" s="2" t="s">
        <v>60</v>
      </c>
      <c r="K38" t="s">
        <v>143</v>
      </c>
      <c r="L38" s="2" t="s">
        <v>57</v>
      </c>
      <c r="M38">
        <v>2</v>
      </c>
      <c r="N38">
        <v>10.89</v>
      </c>
      <c r="O38">
        <v>0.3</v>
      </c>
      <c r="P38">
        <f>SUBTOTAL(103,ProductDatabase[[#This Row],[Weight Solids]])</f>
        <v>0</v>
      </c>
    </row>
    <row r="39" spans="1:38" hidden="1" x14ac:dyDescent="0.25">
      <c r="A39" t="s">
        <v>58</v>
      </c>
      <c r="B39" t="s">
        <v>62</v>
      </c>
      <c r="C39" t="s">
        <v>12</v>
      </c>
      <c r="D39" t="s">
        <v>6</v>
      </c>
      <c r="E39" t="s">
        <v>9</v>
      </c>
      <c r="F39" t="s">
        <v>24</v>
      </c>
      <c r="G39" t="s">
        <v>29</v>
      </c>
      <c r="H39">
        <v>3</v>
      </c>
      <c r="I39">
        <v>2025</v>
      </c>
      <c r="J39" s="2" t="s">
        <v>63</v>
      </c>
      <c r="K39" t="s">
        <v>143</v>
      </c>
      <c r="L39" s="2" t="s">
        <v>61</v>
      </c>
      <c r="M39">
        <v>2</v>
      </c>
      <c r="N39">
        <v>11.73</v>
      </c>
      <c r="O39">
        <v>0.3</v>
      </c>
      <c r="P39">
        <f>SUBTOTAL(103,ProductDatabase[[#This Row],[Weight Solids]])</f>
        <v>0</v>
      </c>
    </row>
    <row r="40" spans="1:38" hidden="1" x14ac:dyDescent="0.25">
      <c r="A40" t="s">
        <v>58</v>
      </c>
      <c r="B40" t="s">
        <v>59</v>
      </c>
      <c r="C40" t="s">
        <v>12</v>
      </c>
      <c r="D40" t="s">
        <v>6</v>
      </c>
      <c r="E40" t="s">
        <v>9</v>
      </c>
      <c r="F40" t="s">
        <v>144</v>
      </c>
      <c r="G40" t="s">
        <v>29</v>
      </c>
      <c r="H40">
        <v>3</v>
      </c>
      <c r="I40">
        <v>2025</v>
      </c>
      <c r="J40" s="2" t="s">
        <v>150</v>
      </c>
      <c r="K40" t="s">
        <v>143</v>
      </c>
      <c r="L40" s="2" t="s">
        <v>64</v>
      </c>
      <c r="M40">
        <v>2</v>
      </c>
      <c r="N40">
        <v>11.5</v>
      </c>
      <c r="O40">
        <v>0.3</v>
      </c>
      <c r="P40">
        <f>SUBTOTAL(103,ProductDatabase[[#This Row],[Weight Solids]])</f>
        <v>0</v>
      </c>
      <c r="Y40" s="1"/>
      <c r="Z40" s="1"/>
      <c r="AA40" s="1"/>
      <c r="AB40" s="1"/>
      <c r="AC40" s="1"/>
      <c r="AD40" s="1"/>
      <c r="AE40" s="1"/>
    </row>
    <row r="41" spans="1:38" hidden="1" x14ac:dyDescent="0.25">
      <c r="A41" t="s">
        <v>58</v>
      </c>
      <c r="B41" t="s">
        <v>62</v>
      </c>
      <c r="C41" t="s">
        <v>12</v>
      </c>
      <c r="D41" t="s">
        <v>6</v>
      </c>
      <c r="E41" t="s">
        <v>9</v>
      </c>
      <c r="F41" t="s">
        <v>144</v>
      </c>
      <c r="G41" t="s">
        <v>29</v>
      </c>
      <c r="H41">
        <v>3</v>
      </c>
      <c r="I41">
        <v>2025</v>
      </c>
      <c r="J41" s="2" t="s">
        <v>151</v>
      </c>
      <c r="K41" t="s">
        <v>143</v>
      </c>
      <c r="L41" s="2" t="s">
        <v>152</v>
      </c>
      <c r="M41">
        <v>2</v>
      </c>
      <c r="N41">
        <v>11.12</v>
      </c>
      <c r="O41">
        <v>0.3</v>
      </c>
      <c r="P41">
        <f>SUBTOTAL(103,ProductDatabase[[#This Row],[Weight Solids]])</f>
        <v>0</v>
      </c>
    </row>
    <row r="42" spans="1:38" x14ac:dyDescent="0.25">
      <c r="A42" t="s">
        <v>1</v>
      </c>
      <c r="B42" t="s">
        <v>153</v>
      </c>
      <c r="C42" t="s">
        <v>154</v>
      </c>
      <c r="D42" t="s">
        <v>6</v>
      </c>
      <c r="E42" t="s">
        <v>155</v>
      </c>
      <c r="F42" t="s">
        <v>144</v>
      </c>
      <c r="G42" t="s">
        <v>29</v>
      </c>
      <c r="H42">
        <v>3</v>
      </c>
      <c r="I42">
        <v>2024</v>
      </c>
      <c r="J42" s="2" t="s">
        <v>156</v>
      </c>
      <c r="K42" t="s">
        <v>143</v>
      </c>
      <c r="L42" s="2" t="s">
        <v>157</v>
      </c>
      <c r="M42">
        <v>1</v>
      </c>
      <c r="N42">
        <v>10.74</v>
      </c>
      <c r="O42">
        <v>0.3</v>
      </c>
      <c r="P42">
        <f>SUBTOTAL(103,ProductDatabase[[#This Row],[Weight Solids]])</f>
        <v>1</v>
      </c>
    </row>
    <row r="43" spans="1:38" hidden="1" x14ac:dyDescent="0.25">
      <c r="A43" t="s">
        <v>1</v>
      </c>
      <c r="B43" t="s">
        <v>153</v>
      </c>
      <c r="C43" t="s">
        <v>154</v>
      </c>
      <c r="D43" t="s">
        <v>6</v>
      </c>
      <c r="E43" t="s">
        <v>155</v>
      </c>
      <c r="F43" t="s">
        <v>10</v>
      </c>
      <c r="G43" t="s">
        <v>29</v>
      </c>
      <c r="H43">
        <v>3</v>
      </c>
      <c r="I43">
        <v>2024</v>
      </c>
      <c r="J43" s="2" t="s">
        <v>158</v>
      </c>
      <c r="K43" t="s">
        <v>143</v>
      </c>
      <c r="L43" s="2" t="s">
        <v>159</v>
      </c>
      <c r="M43">
        <v>1</v>
      </c>
      <c r="N43">
        <v>11.57</v>
      </c>
      <c r="O43">
        <v>0.3</v>
      </c>
      <c r="P43">
        <f>SUBTOTAL(103,ProductDatabase[[#This Row],[Weight Solids]])</f>
        <v>0</v>
      </c>
    </row>
    <row r="44" spans="1:38" hidden="1" x14ac:dyDescent="0.25">
      <c r="A44" t="s">
        <v>1</v>
      </c>
      <c r="B44" t="s">
        <v>153</v>
      </c>
      <c r="C44" t="s">
        <v>154</v>
      </c>
      <c r="D44" t="s">
        <v>6</v>
      </c>
      <c r="E44" t="s">
        <v>155</v>
      </c>
      <c r="F44" t="s">
        <v>16</v>
      </c>
      <c r="G44" t="s">
        <v>29</v>
      </c>
      <c r="H44">
        <v>3</v>
      </c>
      <c r="I44">
        <v>2024</v>
      </c>
      <c r="J44" s="2" t="s">
        <v>160</v>
      </c>
      <c r="K44" t="s">
        <v>143</v>
      </c>
      <c r="L44" s="2" t="s">
        <v>161</v>
      </c>
      <c r="M44">
        <v>1</v>
      </c>
      <c r="N44">
        <v>10.89</v>
      </c>
      <c r="O44">
        <v>0.3</v>
      </c>
      <c r="P44">
        <f>SUBTOTAL(103,ProductDatabase[[#This Row],[Weight Solids]])</f>
        <v>0</v>
      </c>
    </row>
    <row r="45" spans="1:38" hidden="1" x14ac:dyDescent="0.25">
      <c r="A45" t="s">
        <v>1</v>
      </c>
      <c r="B45" t="s">
        <v>153</v>
      </c>
      <c r="C45" t="s">
        <v>154</v>
      </c>
      <c r="D45" t="s">
        <v>6</v>
      </c>
      <c r="E45" t="s">
        <v>155</v>
      </c>
      <c r="F45" t="s">
        <v>24</v>
      </c>
      <c r="G45" t="s">
        <v>29</v>
      </c>
      <c r="H45">
        <v>3</v>
      </c>
      <c r="I45">
        <v>2024</v>
      </c>
      <c r="J45" s="2" t="s">
        <v>162</v>
      </c>
      <c r="K45" t="s">
        <v>143</v>
      </c>
      <c r="L45" s="2" t="s">
        <v>163</v>
      </c>
      <c r="M45">
        <v>1</v>
      </c>
      <c r="N45">
        <v>10.199999999999999</v>
      </c>
      <c r="O45">
        <v>0.3</v>
      </c>
      <c r="P45">
        <f>SUBTOTAL(103,ProductDatabase[[#This Row],[Weight Solids]])</f>
        <v>0</v>
      </c>
    </row>
    <row r="46" spans="1:38" hidden="1" x14ac:dyDescent="0.25">
      <c r="A46" t="s">
        <v>1</v>
      </c>
      <c r="B46" t="s">
        <v>25</v>
      </c>
      <c r="C46" t="s">
        <v>154</v>
      </c>
      <c r="D46" t="s">
        <v>6</v>
      </c>
      <c r="E46" t="s">
        <v>9</v>
      </c>
      <c r="F46" t="s">
        <v>144</v>
      </c>
      <c r="G46" t="s">
        <v>29</v>
      </c>
      <c r="H46">
        <v>3</v>
      </c>
      <c r="I46">
        <v>2025</v>
      </c>
      <c r="J46" s="2" t="s">
        <v>164</v>
      </c>
      <c r="K46" t="s">
        <v>143</v>
      </c>
      <c r="L46" s="2" t="s">
        <v>165</v>
      </c>
      <c r="M46">
        <v>1</v>
      </c>
      <c r="N46">
        <v>10.66</v>
      </c>
      <c r="O46">
        <v>0.3</v>
      </c>
      <c r="P46">
        <f>SUBTOTAL(103,ProductDatabase[[#This Row],[Weight Solids]])</f>
        <v>0</v>
      </c>
    </row>
    <row r="47" spans="1:38" hidden="1" x14ac:dyDescent="0.25">
      <c r="A47" t="s">
        <v>1</v>
      </c>
      <c r="B47" t="s">
        <v>25</v>
      </c>
      <c r="C47" t="s">
        <v>12</v>
      </c>
      <c r="D47" t="s">
        <v>6</v>
      </c>
      <c r="E47" t="s">
        <v>9</v>
      </c>
      <c r="F47" t="s">
        <v>24</v>
      </c>
      <c r="G47" t="s">
        <v>29</v>
      </c>
      <c r="H47">
        <v>3</v>
      </c>
      <c r="I47">
        <v>2025</v>
      </c>
      <c r="J47" s="2" t="s">
        <v>32</v>
      </c>
      <c r="K47" t="s">
        <v>143</v>
      </c>
      <c r="L47" s="2" t="s">
        <v>166</v>
      </c>
      <c r="M47">
        <v>1</v>
      </c>
      <c r="N47">
        <v>10.88</v>
      </c>
      <c r="O47">
        <v>0.3</v>
      </c>
      <c r="P47">
        <f>SUBTOTAL(103,ProductDatabase[[#This Row],[Weight Solids]])</f>
        <v>0</v>
      </c>
    </row>
    <row r="48" spans="1:38" hidden="1" x14ac:dyDescent="0.25">
      <c r="A48" t="s">
        <v>1</v>
      </c>
      <c r="B48" t="s">
        <v>25</v>
      </c>
      <c r="C48" t="s">
        <v>12</v>
      </c>
      <c r="D48" t="s">
        <v>6</v>
      </c>
      <c r="E48" t="s">
        <v>9</v>
      </c>
      <c r="F48" t="s">
        <v>16</v>
      </c>
      <c r="G48" t="s">
        <v>30</v>
      </c>
      <c r="H48">
        <v>2</v>
      </c>
      <c r="I48">
        <v>2025</v>
      </c>
      <c r="J48" s="2" t="s">
        <v>37</v>
      </c>
      <c r="K48" t="s">
        <v>143</v>
      </c>
      <c r="L48" s="2" t="s">
        <v>167</v>
      </c>
      <c r="M48">
        <v>1</v>
      </c>
      <c r="N48">
        <v>11.34</v>
      </c>
      <c r="O48">
        <v>0.3</v>
      </c>
      <c r="P48">
        <f>SUBTOTAL(103,ProductDatabase[[#This Row],[Weight Solids]])</f>
        <v>0</v>
      </c>
    </row>
    <row r="49" spans="1:16" hidden="1" x14ac:dyDescent="0.25">
      <c r="A49" t="s">
        <v>1</v>
      </c>
      <c r="B49" t="s">
        <v>25</v>
      </c>
      <c r="C49" t="s">
        <v>12</v>
      </c>
      <c r="D49" t="s">
        <v>6</v>
      </c>
      <c r="E49" t="s">
        <v>9</v>
      </c>
      <c r="F49" t="s">
        <v>168</v>
      </c>
      <c r="G49" t="s">
        <v>29</v>
      </c>
      <c r="H49">
        <v>3</v>
      </c>
      <c r="I49">
        <v>2023</v>
      </c>
      <c r="J49" s="2" t="s">
        <v>169</v>
      </c>
      <c r="K49" t="s">
        <v>143</v>
      </c>
      <c r="L49" s="2" t="s">
        <v>170</v>
      </c>
      <c r="M49">
        <v>1</v>
      </c>
      <c r="N49">
        <v>10.43</v>
      </c>
      <c r="O49">
        <v>0.3</v>
      </c>
      <c r="P49">
        <f>SUBTOTAL(103,ProductDatabase[[#This Row],[Weight Solids]])</f>
        <v>0</v>
      </c>
    </row>
    <row r="50" spans="1:16" hidden="1" x14ac:dyDescent="0.25">
      <c r="A50" t="s">
        <v>2</v>
      </c>
      <c r="B50" t="s">
        <v>28</v>
      </c>
      <c r="C50" t="s">
        <v>12</v>
      </c>
      <c r="D50" t="s">
        <v>6</v>
      </c>
      <c r="E50" t="s">
        <v>9</v>
      </c>
      <c r="F50" t="s">
        <v>168</v>
      </c>
      <c r="G50" t="s">
        <v>29</v>
      </c>
      <c r="H50">
        <v>3</v>
      </c>
      <c r="I50">
        <v>2025</v>
      </c>
      <c r="J50" s="2" t="s">
        <v>171</v>
      </c>
      <c r="K50" t="s">
        <v>143</v>
      </c>
      <c r="L50" s="2" t="s">
        <v>172</v>
      </c>
      <c r="M50">
        <v>2</v>
      </c>
      <c r="N50">
        <v>10.49</v>
      </c>
      <c r="O50">
        <v>0.3</v>
      </c>
      <c r="P50">
        <f>SUBTOTAL(103,ProductDatabase[[#This Row],[Weight Solids]])</f>
        <v>0</v>
      </c>
    </row>
    <row r="51" spans="1:16" x14ac:dyDescent="0.25">
      <c r="A51" t="s">
        <v>58</v>
      </c>
      <c r="B51" t="s">
        <v>173</v>
      </c>
      <c r="C51" t="s">
        <v>154</v>
      </c>
      <c r="D51" t="s">
        <v>6</v>
      </c>
      <c r="E51" t="s">
        <v>155</v>
      </c>
      <c r="F51" t="s">
        <v>144</v>
      </c>
      <c r="G51" t="s">
        <v>29</v>
      </c>
      <c r="H51">
        <v>3</v>
      </c>
      <c r="I51">
        <v>2025</v>
      </c>
      <c r="J51" s="2" t="s">
        <v>174</v>
      </c>
      <c r="K51" t="s">
        <v>143</v>
      </c>
      <c r="L51" s="2" t="s">
        <v>175</v>
      </c>
      <c r="M51">
        <v>2</v>
      </c>
      <c r="N51">
        <v>11.26</v>
      </c>
      <c r="O51">
        <v>0.3</v>
      </c>
      <c r="P51">
        <f>SUBTOTAL(103,ProductDatabase[[#This Row],[Weight Solids]])</f>
        <v>1</v>
      </c>
    </row>
  </sheetData>
  <phoneticPr fontId="2" type="noConversion"/>
  <conditionalFormatting sqref="I10 H8:H9">
    <cfRule type="cellIs" dxfId="43" priority="1" operator="equal">
      <formula>"No"</formula>
    </cfRule>
    <cfRule type="cellIs" dxfId="42" priority="2" operator="equal">
      <formula>"Yes"</formula>
    </cfRule>
  </conditionalFormatting>
  <dataValidations count="1">
    <dataValidation type="list" allowBlank="1" showInputMessage="1" showErrorMessage="1" sqref="I10 H8:H9" xr:uid="{61638506-0A58-4F97-9078-CEA886BFE702}">
      <formula1>"Yes,No"</formula1>
    </dataValidation>
  </dataValidations>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F73D-5DEB-4FCB-8EA0-2543C5CF1379}">
  <sheetPr codeName="Sheet2"/>
  <dimension ref="A12:AJ82"/>
  <sheetViews>
    <sheetView showGridLines="0" zoomScaleNormal="100" workbookViewId="0">
      <selection activeCell="O19" sqref="O19"/>
    </sheetView>
  </sheetViews>
  <sheetFormatPr defaultRowHeight="15" x14ac:dyDescent="0.25"/>
  <cols>
    <col min="1" max="1" width="16.28515625" bestFit="1" customWidth="1"/>
    <col min="2" max="2" width="11.5703125" bestFit="1" customWidth="1"/>
    <col min="3" max="3" width="8.140625" bestFit="1" customWidth="1"/>
    <col min="4" max="4" width="14" bestFit="1" customWidth="1"/>
    <col min="5" max="5" width="7.7109375" bestFit="1" customWidth="1"/>
    <col min="6" max="6" width="11.85546875" bestFit="1" customWidth="1"/>
    <col min="7" max="7" width="8.5703125" bestFit="1" customWidth="1"/>
    <col min="8" max="8" width="21.42578125" bestFit="1" customWidth="1"/>
    <col min="9" max="9" width="14.28515625" bestFit="1" customWidth="1"/>
    <col min="10" max="10" width="9.140625" hidden="1" customWidth="1"/>
    <col min="11" max="11" width="11.85546875" bestFit="1" customWidth="1"/>
    <col min="12" max="12" width="8.5703125" bestFit="1" customWidth="1"/>
    <col min="13" max="13" width="21.42578125" bestFit="1" customWidth="1"/>
    <col min="14" max="14" width="14.28515625" bestFit="1" customWidth="1"/>
    <col min="15" max="15" width="16.28515625" bestFit="1" customWidth="1"/>
    <col min="16" max="16" width="11.5703125" bestFit="1" customWidth="1"/>
    <col min="17" max="17" width="8.140625" bestFit="1" customWidth="1"/>
    <col min="18" max="18" width="14" bestFit="1" customWidth="1"/>
    <col min="19" max="19" width="7.7109375" bestFit="1" customWidth="1"/>
    <col min="20" max="20" width="11.85546875" bestFit="1" customWidth="1"/>
    <col min="21" max="21" width="8.5703125" bestFit="1" customWidth="1"/>
    <col min="22" max="22" width="21.42578125" bestFit="1" customWidth="1"/>
    <col min="23" max="23" width="14.28515625" bestFit="1" customWidth="1"/>
    <col min="24" max="24" width="18.7109375" bestFit="1" customWidth="1"/>
    <col min="25" max="25" width="18.85546875" bestFit="1" customWidth="1"/>
    <col min="26" max="26" width="18" bestFit="1" customWidth="1"/>
    <col min="27" max="27" width="13.85546875" bestFit="1" customWidth="1"/>
    <col min="28" max="28" width="17.28515625" bestFit="1" customWidth="1"/>
    <col min="29" max="29" width="17.85546875" bestFit="1" customWidth="1"/>
    <col min="30" max="30" width="9" bestFit="1" customWidth="1"/>
    <col min="31" max="31" width="14.85546875" bestFit="1" customWidth="1"/>
    <col min="32" max="32" width="21.5703125" bestFit="1" customWidth="1"/>
    <col min="33" max="33" width="20.28515625" bestFit="1" customWidth="1"/>
    <col min="34" max="34" width="12" bestFit="1" customWidth="1"/>
    <col min="35" max="35" width="24.85546875" bestFit="1" customWidth="1"/>
    <col min="36" max="36" width="9.42578125" bestFit="1" customWidth="1"/>
  </cols>
  <sheetData>
    <row r="12" spans="28:36" x14ac:dyDescent="0.25">
      <c r="AB12" s="3"/>
      <c r="AJ12" t="e">
        <f>SUBTOTAL(103,#REF!)</f>
        <v>#REF!</v>
      </c>
    </row>
    <row r="13" spans="28:36" x14ac:dyDescent="0.25">
      <c r="AB13" s="3"/>
      <c r="AJ13" t="e">
        <f>SUBTOTAL(103,#REF!)</f>
        <v>#REF!</v>
      </c>
    </row>
    <row r="14" spans="28:36" x14ac:dyDescent="0.25">
      <c r="AB14" s="3"/>
      <c r="AJ14" t="e">
        <f>SUBTOTAL(103,#REF!)</f>
        <v>#REF!</v>
      </c>
    </row>
    <row r="15" spans="28:36" x14ac:dyDescent="0.25">
      <c r="AB15" s="3"/>
      <c r="AJ15" t="e">
        <f>SUBTOTAL(103,#REF!)</f>
        <v>#REF!</v>
      </c>
    </row>
    <row r="16" spans="28:36" x14ac:dyDescent="0.25">
      <c r="AB16" s="3"/>
      <c r="AJ16" t="e">
        <f>SUBTOTAL(103,#REF!)</f>
        <v>#REF!</v>
      </c>
    </row>
    <row r="17" spans="1:36" x14ac:dyDescent="0.25">
      <c r="AB17" s="3"/>
      <c r="AJ17" t="e">
        <f>SUBTOTAL(103,#REF!)</f>
        <v>#REF!</v>
      </c>
    </row>
    <row r="18" spans="1:36" x14ac:dyDescent="0.25">
      <c r="AB18" s="3"/>
      <c r="AJ18" t="e">
        <f>SUBTOTAL(103,#REF!)</f>
        <v>#REF!</v>
      </c>
    </row>
    <row r="19" spans="1:36" x14ac:dyDescent="0.25">
      <c r="AB19" s="3"/>
      <c r="AJ19" t="e">
        <f>SUBTOTAL(103,#REF!)</f>
        <v>#REF!</v>
      </c>
    </row>
    <row r="20" spans="1:36" x14ac:dyDescent="0.25">
      <c r="AB20" s="3"/>
      <c r="AJ20" t="e">
        <f>SUBTOTAL(103,#REF!)</f>
        <v>#REF!</v>
      </c>
    </row>
    <row r="21" spans="1:36" x14ac:dyDescent="0.25">
      <c r="AB21" s="3"/>
      <c r="AJ21" t="e">
        <f>SUBTOTAL(103,#REF!)</f>
        <v>#REF!</v>
      </c>
    </row>
    <row r="22" spans="1:36" x14ac:dyDescent="0.25">
      <c r="AB22" s="3"/>
      <c r="AJ22" t="e">
        <f>SUBTOTAL(103,#REF!)</f>
        <v>#REF!</v>
      </c>
    </row>
    <row r="23" spans="1:36" x14ac:dyDescent="0.25">
      <c r="AB23" s="3"/>
      <c r="AJ23" t="e">
        <f>SUBTOTAL(103,#REF!)</f>
        <v>#REF!</v>
      </c>
    </row>
    <row r="24" spans="1:36" x14ac:dyDescent="0.25">
      <c r="A24" t="s">
        <v>66</v>
      </c>
      <c r="B24" t="s">
        <v>70</v>
      </c>
      <c r="C24" t="s">
        <v>69</v>
      </c>
      <c r="D24" t="s">
        <v>13</v>
      </c>
      <c r="E24" t="s">
        <v>71</v>
      </c>
      <c r="F24" t="s">
        <v>72</v>
      </c>
      <c r="G24" t="s">
        <v>74</v>
      </c>
      <c r="H24" t="s">
        <v>94</v>
      </c>
      <c r="I24" t="s">
        <v>96</v>
      </c>
      <c r="J24" t="s">
        <v>48</v>
      </c>
      <c r="AB24" s="3"/>
      <c r="AJ24" t="e">
        <f>SUBTOTAL(103,#REF!)</f>
        <v>#REF!</v>
      </c>
    </row>
    <row r="25" spans="1:36" x14ac:dyDescent="0.25">
      <c r="A25" t="s">
        <v>138</v>
      </c>
      <c r="B25" t="s">
        <v>68</v>
      </c>
      <c r="C25">
        <v>444</v>
      </c>
      <c r="D25" t="s">
        <v>118</v>
      </c>
      <c r="E25">
        <v>0</v>
      </c>
      <c r="F25" t="s">
        <v>73</v>
      </c>
      <c r="G25">
        <v>1</v>
      </c>
      <c r="H25" t="s">
        <v>95</v>
      </c>
      <c r="I25" t="s">
        <v>97</v>
      </c>
      <c r="J25">
        <f>SUBTOTAL(103,WeatheringTestDirectory[[#This Row],[Weathering ID]])</f>
        <v>1</v>
      </c>
      <c r="AB25" s="3"/>
      <c r="AJ25" t="e">
        <f>SUBTOTAL(103,#REF!)</f>
        <v>#REF!</v>
      </c>
    </row>
    <row r="26" spans="1:36" x14ac:dyDescent="0.25">
      <c r="A26" t="s">
        <v>67</v>
      </c>
      <c r="B26" t="s">
        <v>68</v>
      </c>
      <c r="C26">
        <v>444</v>
      </c>
      <c r="D26" t="s">
        <v>118</v>
      </c>
      <c r="E26">
        <v>500</v>
      </c>
      <c r="F26" t="s">
        <v>73</v>
      </c>
      <c r="G26">
        <v>1</v>
      </c>
      <c r="H26" t="s">
        <v>95</v>
      </c>
      <c r="I26" t="s">
        <v>97</v>
      </c>
      <c r="J26">
        <f>SUBTOTAL(103,WeatheringTestDirectory[[#This Row],[Weathering ID]])</f>
        <v>1</v>
      </c>
      <c r="AB26" s="3"/>
      <c r="AJ26" t="e">
        <f>SUBTOTAL(103,#REF!)</f>
        <v>#REF!</v>
      </c>
    </row>
    <row r="27" spans="1:36" x14ac:dyDescent="0.25">
      <c r="A27" t="s">
        <v>75</v>
      </c>
      <c r="B27" t="s">
        <v>68</v>
      </c>
      <c r="C27">
        <v>444</v>
      </c>
      <c r="D27" t="s">
        <v>118</v>
      </c>
      <c r="E27">
        <v>1000</v>
      </c>
      <c r="F27" t="s">
        <v>73</v>
      </c>
      <c r="G27">
        <v>1</v>
      </c>
      <c r="H27" t="s">
        <v>95</v>
      </c>
      <c r="I27" t="s">
        <v>97</v>
      </c>
      <c r="J27">
        <f>SUBTOTAL(103,WeatheringTestDirectory[[#This Row],[Weathering ID]])</f>
        <v>1</v>
      </c>
      <c r="AB27" s="3"/>
      <c r="AJ27" t="e">
        <f>SUBTOTAL(103,#REF!)</f>
        <v>#REF!</v>
      </c>
    </row>
    <row r="28" spans="1:36" x14ac:dyDescent="0.25">
      <c r="A28" t="s">
        <v>76</v>
      </c>
      <c r="B28" t="s">
        <v>68</v>
      </c>
      <c r="C28">
        <v>444</v>
      </c>
      <c r="D28" t="s">
        <v>118</v>
      </c>
      <c r="E28">
        <v>1500</v>
      </c>
      <c r="F28" t="s">
        <v>73</v>
      </c>
      <c r="G28">
        <v>1</v>
      </c>
      <c r="H28" t="s">
        <v>95</v>
      </c>
      <c r="I28" t="s">
        <v>97</v>
      </c>
      <c r="J28">
        <f>SUBTOTAL(103,WeatheringTestDirectory[[#This Row],[Weathering ID]])</f>
        <v>1</v>
      </c>
      <c r="AB28" s="3"/>
      <c r="AJ28" t="e">
        <f>SUBTOTAL(103,#REF!)</f>
        <v>#REF!</v>
      </c>
    </row>
    <row r="29" spans="1:36" x14ac:dyDescent="0.25">
      <c r="A29" t="s">
        <v>77</v>
      </c>
      <c r="B29" t="s">
        <v>68</v>
      </c>
      <c r="C29">
        <v>444</v>
      </c>
      <c r="D29" t="s">
        <v>118</v>
      </c>
      <c r="E29">
        <v>2000</v>
      </c>
      <c r="F29" t="s">
        <v>73</v>
      </c>
      <c r="G29">
        <v>1</v>
      </c>
      <c r="H29" t="s">
        <v>95</v>
      </c>
      <c r="I29" t="s">
        <v>97</v>
      </c>
      <c r="J29">
        <f>SUBTOTAL(103,WeatheringTestDirectory[[#This Row],[Weathering ID]])</f>
        <v>1</v>
      </c>
      <c r="AB29" s="3"/>
      <c r="AJ29" t="e">
        <f>SUBTOTAL(103,#REF!)</f>
        <v>#REF!</v>
      </c>
    </row>
    <row r="30" spans="1:36" hidden="1" x14ac:dyDescent="0.25">
      <c r="A30" t="s">
        <v>78</v>
      </c>
      <c r="B30" t="s">
        <v>68</v>
      </c>
      <c r="C30">
        <v>444</v>
      </c>
      <c r="D30" t="s">
        <v>118</v>
      </c>
      <c r="E30">
        <v>2500</v>
      </c>
      <c r="F30" t="s">
        <v>73</v>
      </c>
      <c r="G30">
        <v>1</v>
      </c>
      <c r="H30" t="s">
        <v>95</v>
      </c>
      <c r="I30" t="s">
        <v>97</v>
      </c>
      <c r="J30">
        <f>SUBTOTAL(103,WeatheringTestDirectory[[#This Row],[Weathering ID]])</f>
        <v>0</v>
      </c>
      <c r="AB30" s="3"/>
      <c r="AJ30" t="e">
        <f>SUBTOTAL(103,#REF!)</f>
        <v>#REF!</v>
      </c>
    </row>
    <row r="31" spans="1:36" hidden="1" x14ac:dyDescent="0.25">
      <c r="A31" t="s">
        <v>79</v>
      </c>
      <c r="B31" t="s">
        <v>68</v>
      </c>
      <c r="C31">
        <v>444</v>
      </c>
      <c r="D31" t="s">
        <v>118</v>
      </c>
      <c r="E31">
        <v>3000</v>
      </c>
      <c r="F31" t="s">
        <v>73</v>
      </c>
      <c r="G31">
        <v>1</v>
      </c>
      <c r="H31" t="s">
        <v>95</v>
      </c>
      <c r="I31" t="s">
        <v>97</v>
      </c>
      <c r="J31">
        <f>SUBTOTAL(103,WeatheringTestDirectory[[#This Row],[Weathering ID]])</f>
        <v>0</v>
      </c>
      <c r="AB31" s="3"/>
      <c r="AJ31" t="e">
        <f>SUBTOTAL(103,#REF!)</f>
        <v>#REF!</v>
      </c>
    </row>
    <row r="32" spans="1:36" hidden="1" x14ac:dyDescent="0.25">
      <c r="A32" t="s">
        <v>80</v>
      </c>
      <c r="B32" t="s">
        <v>68</v>
      </c>
      <c r="C32">
        <v>444</v>
      </c>
      <c r="D32" t="s">
        <v>118</v>
      </c>
      <c r="E32">
        <v>3500</v>
      </c>
      <c r="F32" t="s">
        <v>73</v>
      </c>
      <c r="G32">
        <v>1</v>
      </c>
      <c r="H32" t="s">
        <v>95</v>
      </c>
      <c r="I32" t="s">
        <v>97</v>
      </c>
      <c r="J32">
        <f>SUBTOTAL(103,WeatheringTestDirectory[[#This Row],[Weathering ID]])</f>
        <v>0</v>
      </c>
      <c r="AB32" s="3"/>
      <c r="AJ32" t="e">
        <f>SUBTOTAL(103,#REF!)</f>
        <v>#REF!</v>
      </c>
    </row>
    <row r="33" spans="1:36" hidden="1" x14ac:dyDescent="0.25">
      <c r="A33" t="s">
        <v>81</v>
      </c>
      <c r="B33" t="s">
        <v>68</v>
      </c>
      <c r="C33">
        <v>444</v>
      </c>
      <c r="D33" t="s">
        <v>118</v>
      </c>
      <c r="E33">
        <v>4000</v>
      </c>
      <c r="F33" t="s">
        <v>73</v>
      </c>
      <c r="G33">
        <v>1</v>
      </c>
      <c r="H33" t="s">
        <v>95</v>
      </c>
      <c r="I33" t="s">
        <v>97</v>
      </c>
      <c r="J33">
        <f>SUBTOTAL(103,WeatheringTestDirectory[[#This Row],[Weathering ID]])</f>
        <v>0</v>
      </c>
      <c r="AB33" s="3"/>
      <c r="AJ33" t="e">
        <f>SUBTOTAL(103,#REF!)</f>
        <v>#REF!</v>
      </c>
    </row>
    <row r="34" spans="1:36" hidden="1" x14ac:dyDescent="0.25">
      <c r="A34" t="s">
        <v>82</v>
      </c>
      <c r="B34" t="s">
        <v>68</v>
      </c>
      <c r="C34">
        <v>444</v>
      </c>
      <c r="D34" t="s">
        <v>118</v>
      </c>
      <c r="E34">
        <v>4500</v>
      </c>
      <c r="F34" t="s">
        <v>73</v>
      </c>
      <c r="G34">
        <v>1</v>
      </c>
      <c r="H34" t="s">
        <v>95</v>
      </c>
      <c r="I34" t="s">
        <v>97</v>
      </c>
      <c r="J34">
        <f>SUBTOTAL(103,WeatheringTestDirectory[[#This Row],[Weathering ID]])</f>
        <v>0</v>
      </c>
    </row>
    <row r="35" spans="1:36" hidden="1" x14ac:dyDescent="0.25">
      <c r="A35" t="s">
        <v>83</v>
      </c>
      <c r="B35" t="s">
        <v>68</v>
      </c>
      <c r="C35">
        <v>444</v>
      </c>
      <c r="D35" t="s">
        <v>118</v>
      </c>
      <c r="E35">
        <v>5000</v>
      </c>
      <c r="F35" t="s">
        <v>73</v>
      </c>
      <c r="G35">
        <v>1</v>
      </c>
      <c r="H35" t="s">
        <v>95</v>
      </c>
      <c r="I35" t="s">
        <v>97</v>
      </c>
      <c r="J35">
        <f>SUBTOTAL(103,WeatheringTestDirectory[[#This Row],[Weathering ID]])</f>
        <v>0</v>
      </c>
      <c r="AB35" s="3"/>
      <c r="AJ35" t="e">
        <f>SUBTOTAL(103,#REF!)</f>
        <v>#REF!</v>
      </c>
    </row>
    <row r="36" spans="1:36" x14ac:dyDescent="0.25">
      <c r="A36" t="s">
        <v>84</v>
      </c>
      <c r="B36" t="s">
        <v>68</v>
      </c>
      <c r="C36">
        <v>444</v>
      </c>
      <c r="D36" t="s">
        <v>118</v>
      </c>
      <c r="E36">
        <v>500</v>
      </c>
      <c r="F36" t="s">
        <v>73</v>
      </c>
      <c r="G36">
        <v>1</v>
      </c>
      <c r="H36" t="s">
        <v>95</v>
      </c>
      <c r="I36" t="s">
        <v>101</v>
      </c>
      <c r="J36">
        <f>SUBTOTAL(103,WeatheringTestDirectory[[#This Row],[Weathering ID]])</f>
        <v>1</v>
      </c>
    </row>
    <row r="37" spans="1:36" x14ac:dyDescent="0.25">
      <c r="A37" t="s">
        <v>85</v>
      </c>
      <c r="B37" t="s">
        <v>68</v>
      </c>
      <c r="C37">
        <v>444</v>
      </c>
      <c r="D37" t="s">
        <v>118</v>
      </c>
      <c r="E37">
        <v>1000</v>
      </c>
      <c r="F37" t="s">
        <v>73</v>
      </c>
      <c r="G37">
        <v>1</v>
      </c>
      <c r="H37" t="s">
        <v>95</v>
      </c>
      <c r="I37" t="s">
        <v>101</v>
      </c>
      <c r="J37">
        <f>SUBTOTAL(103,WeatheringTestDirectory[[#This Row],[Weathering ID]])</f>
        <v>1</v>
      </c>
      <c r="AB37" s="3"/>
      <c r="AJ37" t="e">
        <f>SUBTOTAL(103,#REF!)</f>
        <v>#REF!</v>
      </c>
    </row>
    <row r="38" spans="1:36" x14ac:dyDescent="0.25">
      <c r="A38" t="s">
        <v>86</v>
      </c>
      <c r="B38" t="s">
        <v>68</v>
      </c>
      <c r="C38">
        <v>444</v>
      </c>
      <c r="D38" t="s">
        <v>118</v>
      </c>
      <c r="E38">
        <v>1500</v>
      </c>
      <c r="F38" t="s">
        <v>73</v>
      </c>
      <c r="G38">
        <v>1</v>
      </c>
      <c r="H38" t="s">
        <v>95</v>
      </c>
      <c r="I38" t="s">
        <v>101</v>
      </c>
      <c r="J38">
        <f>SUBTOTAL(103,WeatheringTestDirectory[[#This Row],[Weathering ID]])</f>
        <v>1</v>
      </c>
    </row>
    <row r="39" spans="1:36" x14ac:dyDescent="0.25">
      <c r="A39" t="s">
        <v>87</v>
      </c>
      <c r="B39" t="s">
        <v>68</v>
      </c>
      <c r="C39">
        <v>444</v>
      </c>
      <c r="D39" t="s">
        <v>118</v>
      </c>
      <c r="E39">
        <v>2000</v>
      </c>
      <c r="F39" t="s">
        <v>73</v>
      </c>
      <c r="G39">
        <v>1</v>
      </c>
      <c r="H39" t="s">
        <v>95</v>
      </c>
      <c r="I39" t="s">
        <v>101</v>
      </c>
      <c r="J39">
        <f>SUBTOTAL(103,WeatheringTestDirectory[[#This Row],[Weathering ID]])</f>
        <v>1</v>
      </c>
      <c r="AB39" s="3"/>
      <c r="AJ39" t="e">
        <f>SUBTOTAL(103,#REF!)</f>
        <v>#REF!</v>
      </c>
    </row>
    <row r="40" spans="1:36" hidden="1" x14ac:dyDescent="0.25">
      <c r="A40" t="s">
        <v>88</v>
      </c>
      <c r="B40" t="s">
        <v>68</v>
      </c>
      <c r="C40">
        <v>444</v>
      </c>
      <c r="D40" t="s">
        <v>118</v>
      </c>
      <c r="E40">
        <v>2500</v>
      </c>
      <c r="F40" t="s">
        <v>73</v>
      </c>
      <c r="G40">
        <v>1</v>
      </c>
      <c r="H40" t="s">
        <v>95</v>
      </c>
      <c r="I40" t="s">
        <v>101</v>
      </c>
      <c r="J40">
        <f>SUBTOTAL(103,WeatheringTestDirectory[[#This Row],[Weathering ID]])</f>
        <v>0</v>
      </c>
    </row>
    <row r="41" spans="1:36" hidden="1" x14ac:dyDescent="0.25">
      <c r="A41" t="s">
        <v>89</v>
      </c>
      <c r="B41" t="s">
        <v>68</v>
      </c>
      <c r="C41">
        <v>444</v>
      </c>
      <c r="D41" t="s">
        <v>118</v>
      </c>
      <c r="E41">
        <v>3000</v>
      </c>
      <c r="F41" t="s">
        <v>73</v>
      </c>
      <c r="G41">
        <v>1</v>
      </c>
      <c r="H41" t="s">
        <v>95</v>
      </c>
      <c r="I41" t="s">
        <v>101</v>
      </c>
      <c r="J41">
        <f>SUBTOTAL(103,WeatheringTestDirectory[[#This Row],[Weathering ID]])</f>
        <v>0</v>
      </c>
      <c r="AB41" s="3"/>
      <c r="AJ41" t="e">
        <f>SUBTOTAL(103,#REF!)</f>
        <v>#REF!</v>
      </c>
    </row>
    <row r="42" spans="1:36" hidden="1" x14ac:dyDescent="0.25">
      <c r="A42" t="s">
        <v>90</v>
      </c>
      <c r="B42" t="s">
        <v>68</v>
      </c>
      <c r="C42">
        <v>444</v>
      </c>
      <c r="D42" t="s">
        <v>118</v>
      </c>
      <c r="E42">
        <v>3500</v>
      </c>
      <c r="F42" t="s">
        <v>73</v>
      </c>
      <c r="G42">
        <v>1</v>
      </c>
      <c r="H42" t="s">
        <v>95</v>
      </c>
      <c r="I42" t="s">
        <v>101</v>
      </c>
      <c r="J42">
        <f>SUBTOTAL(103,WeatheringTestDirectory[[#This Row],[Weathering ID]])</f>
        <v>0</v>
      </c>
    </row>
    <row r="43" spans="1:36" hidden="1" x14ac:dyDescent="0.25">
      <c r="A43" t="s">
        <v>91</v>
      </c>
      <c r="B43" t="s">
        <v>68</v>
      </c>
      <c r="C43">
        <v>444</v>
      </c>
      <c r="D43" t="s">
        <v>118</v>
      </c>
      <c r="E43">
        <v>4000</v>
      </c>
      <c r="F43" t="s">
        <v>73</v>
      </c>
      <c r="G43">
        <v>1</v>
      </c>
      <c r="H43" t="s">
        <v>95</v>
      </c>
      <c r="I43" t="s">
        <v>101</v>
      </c>
      <c r="J43">
        <f>SUBTOTAL(103,WeatheringTestDirectory[[#This Row],[Weathering ID]])</f>
        <v>0</v>
      </c>
      <c r="AB43" s="3"/>
      <c r="AJ43" t="e">
        <f>SUBTOTAL(103,#REF!)</f>
        <v>#REF!</v>
      </c>
    </row>
    <row r="44" spans="1:36" hidden="1" x14ac:dyDescent="0.25">
      <c r="A44" t="s">
        <v>92</v>
      </c>
      <c r="B44" t="s">
        <v>68</v>
      </c>
      <c r="C44">
        <v>444</v>
      </c>
      <c r="D44" t="s">
        <v>118</v>
      </c>
      <c r="E44">
        <v>4500</v>
      </c>
      <c r="F44" t="s">
        <v>73</v>
      </c>
      <c r="G44">
        <v>1</v>
      </c>
      <c r="H44" t="s">
        <v>95</v>
      </c>
      <c r="I44" t="s">
        <v>101</v>
      </c>
      <c r="J44">
        <f>SUBTOTAL(103,WeatheringTestDirectory[[#This Row],[Weathering ID]])</f>
        <v>0</v>
      </c>
    </row>
    <row r="45" spans="1:36" hidden="1" x14ac:dyDescent="0.25">
      <c r="A45" t="s">
        <v>93</v>
      </c>
      <c r="B45" t="s">
        <v>68</v>
      </c>
      <c r="C45">
        <v>444</v>
      </c>
      <c r="D45" t="s">
        <v>118</v>
      </c>
      <c r="E45">
        <v>5000</v>
      </c>
      <c r="F45" t="s">
        <v>73</v>
      </c>
      <c r="G45">
        <v>1</v>
      </c>
      <c r="H45" t="s">
        <v>95</v>
      </c>
      <c r="I45" t="s">
        <v>101</v>
      </c>
      <c r="J45">
        <f>SUBTOTAL(103,WeatheringTestDirectory[[#This Row],[Weathering ID]])</f>
        <v>0</v>
      </c>
      <c r="AB45" s="3"/>
      <c r="AJ45" t="e">
        <f>SUBTOTAL(103,#REF!)</f>
        <v>#REF!</v>
      </c>
    </row>
    <row r="46" spans="1:36" hidden="1" x14ac:dyDescent="0.25">
      <c r="A46" t="s">
        <v>102</v>
      </c>
      <c r="B46" t="s">
        <v>65</v>
      </c>
      <c r="C46">
        <v>222</v>
      </c>
      <c r="D46" t="s">
        <v>119</v>
      </c>
      <c r="E46">
        <v>500</v>
      </c>
      <c r="F46" t="s">
        <v>73</v>
      </c>
      <c r="G46">
        <v>1</v>
      </c>
      <c r="H46" t="s">
        <v>95</v>
      </c>
      <c r="I46" t="s">
        <v>101</v>
      </c>
      <c r="J46">
        <f>SUBTOTAL(103,WeatheringTestDirectory[[#This Row],[Weathering ID]])</f>
        <v>0</v>
      </c>
    </row>
    <row r="47" spans="1:36" hidden="1" x14ac:dyDescent="0.25">
      <c r="A47" t="s">
        <v>107</v>
      </c>
      <c r="B47" t="s">
        <v>111</v>
      </c>
      <c r="C47">
        <v>333</v>
      </c>
      <c r="D47" t="s">
        <v>120</v>
      </c>
      <c r="E47">
        <v>3</v>
      </c>
      <c r="F47" t="s">
        <v>108</v>
      </c>
      <c r="G47">
        <v>1</v>
      </c>
      <c r="H47" t="s">
        <v>110</v>
      </c>
      <c r="I47" t="s">
        <v>97</v>
      </c>
      <c r="J47">
        <f>SUBTOTAL(103,WeatheringTestDirectory[[#This Row],[Weathering ID]])</f>
        <v>0</v>
      </c>
      <c r="AB47" s="3"/>
      <c r="AJ47" t="e">
        <f>SUBTOTAL(103,#REF!)</f>
        <v>#REF!</v>
      </c>
    </row>
    <row r="48" spans="1:36" hidden="1" x14ac:dyDescent="0.25">
      <c r="A48" t="s">
        <v>109</v>
      </c>
      <c r="B48" t="s">
        <v>113</v>
      </c>
      <c r="C48">
        <v>333</v>
      </c>
      <c r="D48" t="s">
        <v>121</v>
      </c>
      <c r="E48">
        <v>3</v>
      </c>
      <c r="F48" t="s">
        <v>108</v>
      </c>
      <c r="G48">
        <v>1</v>
      </c>
      <c r="H48" t="s">
        <v>110</v>
      </c>
      <c r="I48" t="s">
        <v>97</v>
      </c>
      <c r="J48">
        <f>SUBTOTAL(103,WeatheringTestDirectory[[#This Row],[Weathering ID]])</f>
        <v>0</v>
      </c>
    </row>
    <row r="49" spans="1:36" hidden="1" x14ac:dyDescent="0.25">
      <c r="A49" t="s">
        <v>112</v>
      </c>
      <c r="B49" t="s">
        <v>111</v>
      </c>
      <c r="C49">
        <v>333</v>
      </c>
      <c r="D49" t="s">
        <v>120</v>
      </c>
      <c r="E49">
        <v>3</v>
      </c>
      <c r="F49" t="s">
        <v>108</v>
      </c>
      <c r="G49">
        <v>1</v>
      </c>
      <c r="H49" t="s">
        <v>110</v>
      </c>
      <c r="I49" t="s">
        <v>101</v>
      </c>
      <c r="J49">
        <f>SUBTOTAL(103,WeatheringTestDirectory[[#This Row],[Weathering ID]])</f>
        <v>0</v>
      </c>
      <c r="AB49" s="3"/>
      <c r="AJ49" t="e">
        <f>SUBTOTAL(103,#REF!)</f>
        <v>#REF!</v>
      </c>
    </row>
    <row r="50" spans="1:36" hidden="1" x14ac:dyDescent="0.25">
      <c r="A50" t="s">
        <v>114</v>
      </c>
      <c r="B50" t="s">
        <v>113</v>
      </c>
      <c r="C50">
        <v>333</v>
      </c>
      <c r="D50" t="s">
        <v>121</v>
      </c>
      <c r="E50">
        <v>3</v>
      </c>
      <c r="F50" t="s">
        <v>108</v>
      </c>
      <c r="G50">
        <v>1</v>
      </c>
      <c r="H50" t="s">
        <v>110</v>
      </c>
      <c r="I50" t="s">
        <v>101</v>
      </c>
      <c r="J50">
        <f>SUBTOTAL(103,WeatheringTestDirectory[[#This Row],[Weathering ID]])</f>
        <v>0</v>
      </c>
    </row>
    <row r="51" spans="1:36" hidden="1" x14ac:dyDescent="0.25">
      <c r="A51" t="s">
        <v>122</v>
      </c>
      <c r="B51" t="s">
        <v>111</v>
      </c>
      <c r="C51">
        <v>333</v>
      </c>
      <c r="D51" t="s">
        <v>120</v>
      </c>
      <c r="E51">
        <v>6</v>
      </c>
      <c r="F51" t="s">
        <v>108</v>
      </c>
      <c r="G51">
        <v>1</v>
      </c>
      <c r="H51" t="s">
        <v>110</v>
      </c>
      <c r="I51" t="s">
        <v>97</v>
      </c>
      <c r="J51">
        <f>SUBTOTAL(103,WeatheringTestDirectory[[#This Row],[Weathering ID]])</f>
        <v>0</v>
      </c>
      <c r="AB51" s="3"/>
      <c r="AJ51" t="e">
        <f>SUBTOTAL(103,#REF!)</f>
        <v>#REF!</v>
      </c>
    </row>
    <row r="52" spans="1:36" hidden="1" x14ac:dyDescent="0.25">
      <c r="A52" t="s">
        <v>123</v>
      </c>
      <c r="B52" t="s">
        <v>113</v>
      </c>
      <c r="C52">
        <v>333</v>
      </c>
      <c r="D52" t="s">
        <v>121</v>
      </c>
      <c r="E52">
        <v>6</v>
      </c>
      <c r="F52" t="s">
        <v>108</v>
      </c>
      <c r="G52">
        <v>1</v>
      </c>
      <c r="H52" t="s">
        <v>110</v>
      </c>
      <c r="I52" t="s">
        <v>97</v>
      </c>
      <c r="J52">
        <f>SUBTOTAL(103,WeatheringTestDirectory[[#This Row],[Weathering ID]])</f>
        <v>0</v>
      </c>
    </row>
    <row r="53" spans="1:36" hidden="1" x14ac:dyDescent="0.25">
      <c r="A53" t="s">
        <v>124</v>
      </c>
      <c r="B53" t="s">
        <v>111</v>
      </c>
      <c r="C53">
        <v>333</v>
      </c>
      <c r="D53" t="s">
        <v>120</v>
      </c>
      <c r="E53">
        <v>6</v>
      </c>
      <c r="F53" t="s">
        <v>108</v>
      </c>
      <c r="G53">
        <v>1</v>
      </c>
      <c r="H53" t="s">
        <v>110</v>
      </c>
      <c r="I53" t="s">
        <v>101</v>
      </c>
      <c r="J53">
        <f>SUBTOTAL(103,WeatheringTestDirectory[[#This Row],[Weathering ID]])</f>
        <v>0</v>
      </c>
      <c r="AB53" s="3"/>
      <c r="AJ53" t="e">
        <f>SUBTOTAL(103,#REF!)</f>
        <v>#REF!</v>
      </c>
    </row>
    <row r="54" spans="1:36" hidden="1" x14ac:dyDescent="0.25">
      <c r="A54" t="s">
        <v>125</v>
      </c>
      <c r="B54" t="s">
        <v>113</v>
      </c>
      <c r="C54">
        <v>333</v>
      </c>
      <c r="D54" t="s">
        <v>121</v>
      </c>
      <c r="E54">
        <v>6</v>
      </c>
      <c r="F54" t="s">
        <v>108</v>
      </c>
      <c r="G54">
        <v>1</v>
      </c>
      <c r="H54" t="s">
        <v>110</v>
      </c>
      <c r="I54" t="s">
        <v>101</v>
      </c>
      <c r="J54">
        <f>SUBTOTAL(103,WeatheringTestDirectory[[#This Row],[Weathering ID]])</f>
        <v>0</v>
      </c>
      <c r="Y54" s="3"/>
    </row>
    <row r="55" spans="1:36" hidden="1" x14ac:dyDescent="0.25">
      <c r="A55" t="s">
        <v>126</v>
      </c>
      <c r="B55" t="s">
        <v>111</v>
      </c>
      <c r="C55">
        <v>333</v>
      </c>
      <c r="D55" t="s">
        <v>120</v>
      </c>
      <c r="E55">
        <v>9</v>
      </c>
      <c r="F55" t="s">
        <v>108</v>
      </c>
      <c r="G55">
        <v>1</v>
      </c>
      <c r="H55" t="s">
        <v>110</v>
      </c>
      <c r="I55" t="s">
        <v>97</v>
      </c>
      <c r="J55">
        <f>SUBTOTAL(103,WeatheringTestDirectory[[#This Row],[Weathering ID]])</f>
        <v>0</v>
      </c>
    </row>
    <row r="56" spans="1:36" hidden="1" x14ac:dyDescent="0.25">
      <c r="A56" t="s">
        <v>127</v>
      </c>
      <c r="B56" t="s">
        <v>113</v>
      </c>
      <c r="C56">
        <v>333</v>
      </c>
      <c r="D56" t="s">
        <v>121</v>
      </c>
      <c r="E56">
        <v>9</v>
      </c>
      <c r="F56" t="s">
        <v>108</v>
      </c>
      <c r="G56">
        <v>1</v>
      </c>
      <c r="H56" t="s">
        <v>110</v>
      </c>
      <c r="I56" t="s">
        <v>97</v>
      </c>
      <c r="J56">
        <f>SUBTOTAL(103,WeatheringTestDirectory[[#This Row],[Weathering ID]])</f>
        <v>0</v>
      </c>
    </row>
    <row r="57" spans="1:36" hidden="1" x14ac:dyDescent="0.25">
      <c r="A57" t="s">
        <v>128</v>
      </c>
      <c r="B57" t="s">
        <v>111</v>
      </c>
      <c r="C57">
        <v>333</v>
      </c>
      <c r="D57" t="s">
        <v>120</v>
      </c>
      <c r="E57">
        <v>9</v>
      </c>
      <c r="F57" t="s">
        <v>108</v>
      </c>
      <c r="G57">
        <v>1</v>
      </c>
      <c r="H57" t="s">
        <v>110</v>
      </c>
      <c r="I57" t="s">
        <v>101</v>
      </c>
      <c r="J57">
        <f>SUBTOTAL(103,WeatheringTestDirectory[[#This Row],[Weathering ID]])</f>
        <v>0</v>
      </c>
    </row>
    <row r="58" spans="1:36" hidden="1" x14ac:dyDescent="0.25">
      <c r="A58" t="s">
        <v>129</v>
      </c>
      <c r="B58" t="s">
        <v>113</v>
      </c>
      <c r="C58">
        <v>333</v>
      </c>
      <c r="D58" t="s">
        <v>121</v>
      </c>
      <c r="E58">
        <v>9</v>
      </c>
      <c r="F58" t="s">
        <v>108</v>
      </c>
      <c r="G58">
        <v>1</v>
      </c>
      <c r="H58" t="s">
        <v>110</v>
      </c>
      <c r="I58" t="s">
        <v>101</v>
      </c>
      <c r="J58">
        <f>SUBTOTAL(103,WeatheringTestDirectory[[#This Row],[Weathering ID]])</f>
        <v>0</v>
      </c>
    </row>
    <row r="59" spans="1:36" hidden="1" x14ac:dyDescent="0.25">
      <c r="A59" t="s">
        <v>130</v>
      </c>
      <c r="B59" t="s">
        <v>111</v>
      </c>
      <c r="C59">
        <v>333</v>
      </c>
      <c r="D59" t="s">
        <v>120</v>
      </c>
      <c r="E59">
        <v>12</v>
      </c>
      <c r="F59" t="s">
        <v>108</v>
      </c>
      <c r="G59">
        <v>1</v>
      </c>
      <c r="H59" t="s">
        <v>110</v>
      </c>
      <c r="I59" t="s">
        <v>97</v>
      </c>
      <c r="J59">
        <f>SUBTOTAL(103,WeatheringTestDirectory[[#This Row],[Weathering ID]])</f>
        <v>0</v>
      </c>
    </row>
    <row r="60" spans="1:36" hidden="1" x14ac:dyDescent="0.25">
      <c r="A60" t="s">
        <v>131</v>
      </c>
      <c r="B60" t="s">
        <v>113</v>
      </c>
      <c r="C60">
        <v>333</v>
      </c>
      <c r="D60" t="s">
        <v>121</v>
      </c>
      <c r="E60">
        <v>12</v>
      </c>
      <c r="F60" t="s">
        <v>108</v>
      </c>
      <c r="G60">
        <v>1</v>
      </c>
      <c r="H60" t="s">
        <v>110</v>
      </c>
      <c r="I60" t="s">
        <v>97</v>
      </c>
      <c r="J60">
        <f>SUBTOTAL(103,WeatheringTestDirectory[[#This Row],[Weathering ID]])</f>
        <v>0</v>
      </c>
    </row>
    <row r="61" spans="1:36" hidden="1" x14ac:dyDescent="0.25">
      <c r="A61" t="s">
        <v>132</v>
      </c>
      <c r="B61" t="s">
        <v>111</v>
      </c>
      <c r="C61">
        <v>333</v>
      </c>
      <c r="D61" t="s">
        <v>120</v>
      </c>
      <c r="E61">
        <v>12</v>
      </c>
      <c r="F61" t="s">
        <v>108</v>
      </c>
      <c r="G61">
        <v>1</v>
      </c>
      <c r="H61" t="s">
        <v>110</v>
      </c>
      <c r="I61" t="s">
        <v>101</v>
      </c>
      <c r="J61">
        <f>SUBTOTAL(103,WeatheringTestDirectory[[#This Row],[Weathering ID]])</f>
        <v>0</v>
      </c>
    </row>
    <row r="62" spans="1:36" hidden="1" x14ac:dyDescent="0.25">
      <c r="A62" t="s">
        <v>133</v>
      </c>
      <c r="B62" t="s">
        <v>113</v>
      </c>
      <c r="C62">
        <v>333</v>
      </c>
      <c r="D62" t="s">
        <v>121</v>
      </c>
      <c r="E62">
        <v>12</v>
      </c>
      <c r="F62" t="s">
        <v>108</v>
      </c>
      <c r="G62">
        <v>1</v>
      </c>
      <c r="H62" t="s">
        <v>110</v>
      </c>
      <c r="I62" t="s">
        <v>101</v>
      </c>
      <c r="J62">
        <f>SUBTOTAL(103,WeatheringTestDirectory[[#This Row],[Weathering ID]])</f>
        <v>0</v>
      </c>
    </row>
    <row r="63" spans="1:36" hidden="1" x14ac:dyDescent="0.25">
      <c r="A63" t="s">
        <v>134</v>
      </c>
      <c r="B63" t="s">
        <v>111</v>
      </c>
      <c r="C63">
        <v>333</v>
      </c>
      <c r="D63" t="s">
        <v>120</v>
      </c>
      <c r="E63">
        <v>15</v>
      </c>
      <c r="F63" t="s">
        <v>108</v>
      </c>
      <c r="G63">
        <v>1</v>
      </c>
      <c r="H63" t="s">
        <v>110</v>
      </c>
      <c r="I63" t="s">
        <v>97</v>
      </c>
      <c r="J63">
        <f>SUBTOTAL(103,WeatheringTestDirectory[[#This Row],[Weathering ID]])</f>
        <v>0</v>
      </c>
    </row>
    <row r="64" spans="1:36" hidden="1" x14ac:dyDescent="0.25">
      <c r="A64" t="s">
        <v>135</v>
      </c>
      <c r="B64" t="s">
        <v>113</v>
      </c>
      <c r="C64">
        <v>333</v>
      </c>
      <c r="D64" t="s">
        <v>121</v>
      </c>
      <c r="E64">
        <v>15</v>
      </c>
      <c r="F64" t="s">
        <v>108</v>
      </c>
      <c r="G64">
        <v>1</v>
      </c>
      <c r="H64" t="s">
        <v>110</v>
      </c>
      <c r="I64" t="s">
        <v>97</v>
      </c>
      <c r="J64">
        <f>SUBTOTAL(103,WeatheringTestDirectory[[#This Row],[Weathering ID]])</f>
        <v>0</v>
      </c>
    </row>
    <row r="65" spans="1:10" hidden="1" x14ac:dyDescent="0.25">
      <c r="A65" t="s">
        <v>136</v>
      </c>
      <c r="B65" t="s">
        <v>111</v>
      </c>
      <c r="C65">
        <v>333</v>
      </c>
      <c r="D65" t="s">
        <v>120</v>
      </c>
      <c r="E65">
        <v>15</v>
      </c>
      <c r="F65" t="s">
        <v>108</v>
      </c>
      <c r="G65">
        <v>1</v>
      </c>
      <c r="H65" t="s">
        <v>110</v>
      </c>
      <c r="I65" t="s">
        <v>101</v>
      </c>
      <c r="J65">
        <f>SUBTOTAL(103,WeatheringTestDirectory[[#This Row],[Weathering ID]])</f>
        <v>0</v>
      </c>
    </row>
    <row r="66" spans="1:10" hidden="1" x14ac:dyDescent="0.25">
      <c r="A66" t="s">
        <v>137</v>
      </c>
      <c r="B66" t="s">
        <v>113</v>
      </c>
      <c r="C66">
        <v>333</v>
      </c>
      <c r="D66" t="s">
        <v>121</v>
      </c>
      <c r="E66">
        <v>15</v>
      </c>
      <c r="F66" t="s">
        <v>108</v>
      </c>
      <c r="G66">
        <v>1</v>
      </c>
      <c r="H66" t="s">
        <v>110</v>
      </c>
      <c r="I66" t="s">
        <v>101</v>
      </c>
      <c r="J66">
        <f>SUBTOTAL(103,WeatheringTestDirectory[[#This Row],[Weathering ID]])</f>
        <v>0</v>
      </c>
    </row>
    <row r="67" spans="1:10" hidden="1" x14ac:dyDescent="0.25">
      <c r="A67" t="s">
        <v>177</v>
      </c>
      <c r="B67" t="s">
        <v>111</v>
      </c>
      <c r="C67">
        <v>333</v>
      </c>
      <c r="D67" t="s">
        <v>120</v>
      </c>
      <c r="E67">
        <v>18</v>
      </c>
      <c r="F67" t="s">
        <v>108</v>
      </c>
      <c r="G67">
        <v>1</v>
      </c>
      <c r="H67" t="s">
        <v>110</v>
      </c>
      <c r="I67" t="s">
        <v>97</v>
      </c>
      <c r="J67">
        <f>SUBTOTAL(103,WeatheringTestDirectory[[#This Row],[Weathering ID]])</f>
        <v>0</v>
      </c>
    </row>
    <row r="68" spans="1:10" hidden="1" x14ac:dyDescent="0.25">
      <c r="A68" t="s">
        <v>178</v>
      </c>
      <c r="B68" t="s">
        <v>113</v>
      </c>
      <c r="C68">
        <v>333</v>
      </c>
      <c r="D68" t="s">
        <v>121</v>
      </c>
      <c r="E68">
        <v>18</v>
      </c>
      <c r="F68" t="s">
        <v>108</v>
      </c>
      <c r="G68">
        <v>1</v>
      </c>
      <c r="H68" t="s">
        <v>110</v>
      </c>
      <c r="I68" t="s">
        <v>97</v>
      </c>
      <c r="J68">
        <f>SUBTOTAL(103,WeatheringTestDirectory[[#This Row],[Weathering ID]])</f>
        <v>0</v>
      </c>
    </row>
    <row r="69" spans="1:10" hidden="1" x14ac:dyDescent="0.25">
      <c r="A69" t="s">
        <v>179</v>
      </c>
      <c r="B69" t="s">
        <v>111</v>
      </c>
      <c r="C69">
        <v>333</v>
      </c>
      <c r="D69" t="s">
        <v>120</v>
      </c>
      <c r="E69">
        <v>18</v>
      </c>
      <c r="F69" t="s">
        <v>108</v>
      </c>
      <c r="G69">
        <v>1</v>
      </c>
      <c r="H69" t="s">
        <v>110</v>
      </c>
      <c r="I69" t="s">
        <v>101</v>
      </c>
      <c r="J69">
        <f>SUBTOTAL(103,WeatheringTestDirectory[[#This Row],[Weathering ID]])</f>
        <v>0</v>
      </c>
    </row>
    <row r="70" spans="1:10" hidden="1" x14ac:dyDescent="0.25">
      <c r="A70" t="s">
        <v>180</v>
      </c>
      <c r="B70" t="s">
        <v>113</v>
      </c>
      <c r="C70">
        <v>333</v>
      </c>
      <c r="D70" t="s">
        <v>121</v>
      </c>
      <c r="E70">
        <v>18</v>
      </c>
      <c r="F70" t="s">
        <v>108</v>
      </c>
      <c r="G70">
        <v>1</v>
      </c>
      <c r="H70" t="s">
        <v>110</v>
      </c>
      <c r="I70" t="s">
        <v>101</v>
      </c>
      <c r="J70">
        <f>SUBTOTAL(103,WeatheringTestDirectory[[#This Row],[Weathering ID]])</f>
        <v>0</v>
      </c>
    </row>
    <row r="71" spans="1:10" hidden="1" x14ac:dyDescent="0.25">
      <c r="A71" t="s">
        <v>181</v>
      </c>
      <c r="B71" t="s">
        <v>111</v>
      </c>
      <c r="C71">
        <v>333</v>
      </c>
      <c r="D71" t="s">
        <v>120</v>
      </c>
      <c r="E71">
        <v>21</v>
      </c>
      <c r="F71" t="s">
        <v>108</v>
      </c>
      <c r="G71">
        <v>1</v>
      </c>
      <c r="H71" t="s">
        <v>110</v>
      </c>
      <c r="I71" t="s">
        <v>97</v>
      </c>
      <c r="J71">
        <f>SUBTOTAL(103,WeatheringTestDirectory[[#This Row],[Weathering ID]])</f>
        <v>0</v>
      </c>
    </row>
    <row r="72" spans="1:10" hidden="1" x14ac:dyDescent="0.25">
      <c r="A72" t="s">
        <v>182</v>
      </c>
      <c r="B72" t="s">
        <v>113</v>
      </c>
      <c r="C72">
        <v>333</v>
      </c>
      <c r="D72" t="s">
        <v>121</v>
      </c>
      <c r="E72">
        <v>21</v>
      </c>
      <c r="F72" t="s">
        <v>108</v>
      </c>
      <c r="G72">
        <v>1</v>
      </c>
      <c r="H72" t="s">
        <v>110</v>
      </c>
      <c r="I72" t="s">
        <v>97</v>
      </c>
      <c r="J72">
        <f>SUBTOTAL(103,WeatheringTestDirectory[[#This Row],[Weathering ID]])</f>
        <v>0</v>
      </c>
    </row>
    <row r="73" spans="1:10" hidden="1" x14ac:dyDescent="0.25">
      <c r="A73" t="s">
        <v>183</v>
      </c>
      <c r="B73" t="s">
        <v>111</v>
      </c>
      <c r="C73">
        <v>333</v>
      </c>
      <c r="D73" t="s">
        <v>120</v>
      </c>
      <c r="E73">
        <v>21</v>
      </c>
      <c r="F73" t="s">
        <v>108</v>
      </c>
      <c r="G73">
        <v>1</v>
      </c>
      <c r="H73" t="s">
        <v>110</v>
      </c>
      <c r="I73" t="s">
        <v>101</v>
      </c>
      <c r="J73">
        <f>SUBTOTAL(103,WeatheringTestDirectory[[#This Row],[Weathering ID]])</f>
        <v>0</v>
      </c>
    </row>
    <row r="74" spans="1:10" hidden="1" x14ac:dyDescent="0.25">
      <c r="A74" t="s">
        <v>184</v>
      </c>
      <c r="B74" t="s">
        <v>113</v>
      </c>
      <c r="C74">
        <v>333</v>
      </c>
      <c r="D74" t="s">
        <v>121</v>
      </c>
      <c r="E74">
        <v>21</v>
      </c>
      <c r="F74" t="s">
        <v>108</v>
      </c>
      <c r="G74">
        <v>1</v>
      </c>
      <c r="H74" t="s">
        <v>110</v>
      </c>
      <c r="I74" t="s">
        <v>101</v>
      </c>
      <c r="J74">
        <f>SUBTOTAL(103,WeatheringTestDirectory[[#This Row],[Weathering ID]])</f>
        <v>0</v>
      </c>
    </row>
    <row r="75" spans="1:10" hidden="1" x14ac:dyDescent="0.25">
      <c r="A75" t="s">
        <v>185</v>
      </c>
      <c r="B75" t="s">
        <v>111</v>
      </c>
      <c r="C75">
        <v>333</v>
      </c>
      <c r="D75" t="s">
        <v>120</v>
      </c>
      <c r="E75">
        <v>24</v>
      </c>
      <c r="F75" t="s">
        <v>108</v>
      </c>
      <c r="G75">
        <v>1</v>
      </c>
      <c r="H75" t="s">
        <v>110</v>
      </c>
      <c r="I75" t="s">
        <v>97</v>
      </c>
      <c r="J75">
        <f>SUBTOTAL(103,WeatheringTestDirectory[[#This Row],[Weathering ID]])</f>
        <v>0</v>
      </c>
    </row>
    <row r="76" spans="1:10" hidden="1" x14ac:dyDescent="0.25">
      <c r="A76" t="s">
        <v>186</v>
      </c>
      <c r="B76" t="s">
        <v>113</v>
      </c>
      <c r="C76">
        <v>333</v>
      </c>
      <c r="D76" t="s">
        <v>121</v>
      </c>
      <c r="E76">
        <v>24</v>
      </c>
      <c r="F76" t="s">
        <v>108</v>
      </c>
      <c r="G76">
        <v>1</v>
      </c>
      <c r="H76" t="s">
        <v>110</v>
      </c>
      <c r="I76" t="s">
        <v>97</v>
      </c>
      <c r="J76">
        <f>SUBTOTAL(103,WeatheringTestDirectory[[#This Row],[Weathering ID]])</f>
        <v>0</v>
      </c>
    </row>
    <row r="77" spans="1:10" hidden="1" x14ac:dyDescent="0.25">
      <c r="A77" t="s">
        <v>187</v>
      </c>
      <c r="B77" t="s">
        <v>111</v>
      </c>
      <c r="C77">
        <v>333</v>
      </c>
      <c r="D77" t="s">
        <v>120</v>
      </c>
      <c r="E77">
        <v>24</v>
      </c>
      <c r="F77" t="s">
        <v>108</v>
      </c>
      <c r="G77">
        <v>1</v>
      </c>
      <c r="H77" t="s">
        <v>110</v>
      </c>
      <c r="I77" t="s">
        <v>101</v>
      </c>
      <c r="J77">
        <f>SUBTOTAL(103,WeatheringTestDirectory[[#This Row],[Weathering ID]])</f>
        <v>0</v>
      </c>
    </row>
    <row r="78" spans="1:10" hidden="1" x14ac:dyDescent="0.25">
      <c r="A78" t="s">
        <v>188</v>
      </c>
      <c r="B78" t="s">
        <v>113</v>
      </c>
      <c r="C78">
        <v>333</v>
      </c>
      <c r="D78" t="s">
        <v>121</v>
      </c>
      <c r="E78">
        <v>24</v>
      </c>
      <c r="F78" t="s">
        <v>108</v>
      </c>
      <c r="G78">
        <v>1</v>
      </c>
      <c r="H78" t="s">
        <v>110</v>
      </c>
      <c r="I78" t="s">
        <v>101</v>
      </c>
      <c r="J78">
        <f>SUBTOTAL(103,WeatheringTestDirectory[[#This Row],[Weathering ID]])</f>
        <v>0</v>
      </c>
    </row>
    <row r="79" spans="1:10" hidden="1" x14ac:dyDescent="0.25">
      <c r="A79" t="s">
        <v>189</v>
      </c>
      <c r="B79" t="s">
        <v>111</v>
      </c>
      <c r="C79">
        <v>333</v>
      </c>
      <c r="D79" t="s">
        <v>120</v>
      </c>
      <c r="E79">
        <v>0</v>
      </c>
      <c r="F79" t="s">
        <v>108</v>
      </c>
      <c r="G79">
        <v>1</v>
      </c>
      <c r="H79" t="s">
        <v>110</v>
      </c>
      <c r="I79" t="s">
        <v>97</v>
      </c>
      <c r="J79">
        <f>SUBTOTAL(103,WeatheringTestDirectory[[#This Row],[Weathering ID]])</f>
        <v>0</v>
      </c>
    </row>
    <row r="80" spans="1:10" hidden="1" x14ac:dyDescent="0.25">
      <c r="A80" t="s">
        <v>190</v>
      </c>
      <c r="B80" t="s">
        <v>113</v>
      </c>
      <c r="C80">
        <v>333</v>
      </c>
      <c r="D80" t="s">
        <v>121</v>
      </c>
      <c r="E80">
        <v>0</v>
      </c>
      <c r="F80" t="s">
        <v>108</v>
      </c>
      <c r="G80">
        <v>1</v>
      </c>
      <c r="H80" t="s">
        <v>110</v>
      </c>
      <c r="I80" t="s">
        <v>97</v>
      </c>
      <c r="J80">
        <f>SUBTOTAL(103,WeatheringTestDirectory[[#This Row],[Weathering ID]])</f>
        <v>0</v>
      </c>
    </row>
    <row r="81" spans="1:10" hidden="1" x14ac:dyDescent="0.25">
      <c r="A81" t="s">
        <v>191</v>
      </c>
      <c r="B81" t="s">
        <v>111</v>
      </c>
      <c r="C81">
        <v>333</v>
      </c>
      <c r="D81" t="s">
        <v>120</v>
      </c>
      <c r="E81">
        <v>0</v>
      </c>
      <c r="F81" t="s">
        <v>108</v>
      </c>
      <c r="G81">
        <v>1</v>
      </c>
      <c r="H81" t="s">
        <v>110</v>
      </c>
      <c r="I81" t="s">
        <v>101</v>
      </c>
      <c r="J81">
        <f>SUBTOTAL(103,WeatheringTestDirectory[[#This Row],[Weathering ID]])</f>
        <v>0</v>
      </c>
    </row>
    <row r="82" spans="1:10" hidden="1" x14ac:dyDescent="0.25">
      <c r="A82" t="s">
        <v>192</v>
      </c>
      <c r="B82" t="s">
        <v>113</v>
      </c>
      <c r="C82">
        <v>333</v>
      </c>
      <c r="D82" t="s">
        <v>121</v>
      </c>
      <c r="E82">
        <v>0</v>
      </c>
      <c r="F82" t="s">
        <v>108</v>
      </c>
      <c r="G82">
        <v>1</v>
      </c>
      <c r="H82" t="s">
        <v>110</v>
      </c>
      <c r="I82" t="s">
        <v>101</v>
      </c>
      <c r="J82">
        <f>SUBTOTAL(103,WeatheringTestDirectory[[#This Row],[Weathering ID]])</f>
        <v>0</v>
      </c>
    </row>
  </sheetData>
  <phoneticPr fontId="2" type="noConversion"/>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F2F72-468E-4B2E-89E4-BDE172DA0F00}">
  <sheetPr codeName="Sheet3"/>
  <dimension ref="A15:AA33"/>
  <sheetViews>
    <sheetView showGridLines="0" tabSelected="1" topLeftCell="G1" workbookViewId="0">
      <selection activeCell="P32" sqref="P32"/>
    </sheetView>
  </sheetViews>
  <sheetFormatPr defaultRowHeight="15" x14ac:dyDescent="0.25"/>
  <cols>
    <col min="1" max="1" width="12.7109375" bestFit="1" customWidth="1"/>
    <col min="2" max="2" width="12.42578125" bestFit="1" customWidth="1"/>
    <col min="3" max="3" width="9" bestFit="1" customWidth="1"/>
    <col min="4" max="4" width="21.42578125" bestFit="1" customWidth="1"/>
    <col min="5" max="5" width="7.5703125" bestFit="1" customWidth="1"/>
    <col min="6" max="6" width="49" bestFit="1" customWidth="1"/>
    <col min="7" max="7" width="12.7109375" bestFit="1" customWidth="1"/>
    <col min="8" max="8" width="16.28515625" bestFit="1" customWidth="1"/>
    <col min="9" max="9" width="7.140625" bestFit="1" customWidth="1"/>
    <col min="10" max="10" width="8.140625" bestFit="1" customWidth="1"/>
    <col min="11" max="11" width="14" bestFit="1" customWidth="1"/>
    <col min="12" max="12" width="7.7109375" bestFit="1" customWidth="1"/>
    <col min="13" max="13" width="11.85546875" bestFit="1" customWidth="1"/>
    <col min="14" max="14" width="14.28515625" bestFit="1" customWidth="1"/>
    <col min="15" max="15" width="15" bestFit="1" customWidth="1"/>
    <col min="16" max="16" width="18.5703125" bestFit="1" customWidth="1"/>
    <col min="17" max="17" width="18.85546875" bestFit="1" customWidth="1"/>
    <col min="18" max="18" width="18" bestFit="1" customWidth="1"/>
    <col min="19" max="19" width="13.85546875" bestFit="1" customWidth="1"/>
    <col min="20" max="20" width="17.28515625" bestFit="1" customWidth="1"/>
    <col min="21" max="21" width="22.5703125" bestFit="1" customWidth="1"/>
    <col min="22" max="22" width="13.85546875" bestFit="1" customWidth="1"/>
    <col min="23" max="23" width="9" bestFit="1" customWidth="1"/>
    <col min="24" max="24" width="21.5703125" bestFit="1" customWidth="1"/>
    <col min="25" max="25" width="20.28515625" bestFit="1" customWidth="1"/>
    <col min="26" max="26" width="12" bestFit="1" customWidth="1"/>
    <col min="27" max="28" width="24.85546875" bestFit="1" customWidth="1"/>
    <col min="29" max="29" width="12.5703125" bestFit="1" customWidth="1"/>
    <col min="30" max="30" width="20.28515625" bestFit="1" customWidth="1"/>
    <col min="31" max="31" width="12" bestFit="1" customWidth="1"/>
    <col min="32" max="32" width="24.85546875" bestFit="1" customWidth="1"/>
    <col min="33" max="33" width="12.85546875" customWidth="1"/>
    <col min="34" max="34" width="13.7109375" bestFit="1" customWidth="1"/>
    <col min="35" max="35" width="14.5703125" bestFit="1" customWidth="1"/>
    <col min="36" max="36" width="18.5703125" bestFit="1" customWidth="1"/>
    <col min="37" max="37" width="15.140625" bestFit="1" customWidth="1"/>
    <col min="38" max="38" width="15.7109375" bestFit="1" customWidth="1"/>
    <col min="39" max="39" width="10.42578125" bestFit="1" customWidth="1"/>
    <col min="40" max="40" width="20.85546875" bestFit="1" customWidth="1"/>
    <col min="41" max="41" width="20.42578125" bestFit="1" customWidth="1"/>
    <col min="42" max="42" width="11.140625" bestFit="1" customWidth="1"/>
    <col min="43" max="43" width="16" bestFit="1" customWidth="1"/>
    <col min="44" max="44" width="14.140625" bestFit="1" customWidth="1"/>
  </cols>
  <sheetData>
    <row r="15" spans="1:27" x14ac:dyDescent="0.25">
      <c r="A15" t="s">
        <v>17</v>
      </c>
      <c r="B15" t="s">
        <v>18</v>
      </c>
      <c r="C15" t="s">
        <v>7</v>
      </c>
      <c r="D15" t="s">
        <v>8</v>
      </c>
      <c r="E15" t="s">
        <v>20</v>
      </c>
      <c r="F15" t="s">
        <v>34</v>
      </c>
      <c r="G15" t="s">
        <v>40</v>
      </c>
      <c r="H15" t="s">
        <v>66</v>
      </c>
      <c r="I15" t="s">
        <v>70</v>
      </c>
      <c r="J15" t="s">
        <v>69</v>
      </c>
      <c r="K15" t="s">
        <v>13</v>
      </c>
      <c r="L15" t="s">
        <v>71</v>
      </c>
      <c r="M15" t="s">
        <v>72</v>
      </c>
      <c r="N15" t="s">
        <v>96</v>
      </c>
      <c r="O15" t="s">
        <v>50</v>
      </c>
      <c r="P15" s="5" t="s">
        <v>176</v>
      </c>
      <c r="Q15" s="5" t="s">
        <v>115</v>
      </c>
      <c r="R15" s="5" t="s">
        <v>116</v>
      </c>
      <c r="S15" s="5" t="s">
        <v>98</v>
      </c>
      <c r="T15" s="5" t="s">
        <v>99</v>
      </c>
      <c r="U15" s="5" t="s">
        <v>193</v>
      </c>
      <c r="V15" s="5" t="s">
        <v>194</v>
      </c>
      <c r="W15" s="5" t="s">
        <v>100</v>
      </c>
      <c r="X15" s="5" t="s">
        <v>103</v>
      </c>
      <c r="Y15" s="5" t="s">
        <v>104</v>
      </c>
      <c r="Z15" s="5" t="s">
        <v>105</v>
      </c>
      <c r="AA15" s="5" t="s">
        <v>106</v>
      </c>
    </row>
    <row r="16" spans="1:27" hidden="1" x14ac:dyDescent="0.25">
      <c r="A16" s="4" t="s">
        <v>195</v>
      </c>
      <c r="B16" s="4" t="s">
        <v>197</v>
      </c>
      <c r="C16" s="4" t="s">
        <v>155</v>
      </c>
      <c r="D16" s="4" t="s">
        <v>144</v>
      </c>
      <c r="E16" s="4" t="s">
        <v>29</v>
      </c>
      <c r="F16" s="4" t="s">
        <v>156</v>
      </c>
      <c r="G16" s="4" t="s">
        <v>157</v>
      </c>
      <c r="H16" s="4" t="s">
        <v>84</v>
      </c>
      <c r="I16" s="4" t="s">
        <v>68</v>
      </c>
      <c r="J16" s="4">
        <v>444</v>
      </c>
      <c r="K16" s="4" t="s">
        <v>118</v>
      </c>
      <c r="L16" s="4">
        <v>500</v>
      </c>
      <c r="M16" s="4" t="s">
        <v>73</v>
      </c>
      <c r="N16" s="4" t="s">
        <v>101</v>
      </c>
      <c r="O16" s="4" t="s">
        <v>199</v>
      </c>
      <c r="P16" s="4"/>
      <c r="Q16" s="4"/>
      <c r="R16" s="4"/>
      <c r="S16" s="4" t="str">
        <f>IF(FinalTestGrid[[#This Row],[Property]]="Color Change E","Not Required","")</f>
        <v>Not Required</v>
      </c>
      <c r="T16" s="4">
        <v>1</v>
      </c>
      <c r="U16" s="6" t="str" cm="1">
        <f t="array" ref="U16">IFERROR(_xlfn.SWITCH(TRUE,FinalTestGrid[[#This Row],[Property]]="Color Change E",(T16-T15),FinalTestGrid[[#This Row],[Time]]=0,0,(T16-T15)/T15*100),"")</f>
        <v/>
      </c>
      <c r="V16" s="6" cm="1">
        <f t="array" ref="V16">IFERROR(_xlfn.SWITCH(TRUE,FinalTestGrid[[#This Row],[Property]]="Color Change E",T16,FinalTestGrid[[#This Row],[Time]]=0,0,(FinalTestGrid[[#This Row],[Exposure Value]]-FinalTestGrid[[#This Row],[Initial Value]])/FinalTestGrid[[#This Row],[Initial Value]]*100),"")</f>
        <v>1</v>
      </c>
      <c r="W16" s="4"/>
      <c r="X16" s="4"/>
      <c r="Y16" s="4"/>
      <c r="Z16" s="4"/>
      <c r="AA16" s="4"/>
    </row>
    <row r="17" spans="1:27" hidden="1" x14ac:dyDescent="0.25">
      <c r="A17" s="4" t="s">
        <v>195</v>
      </c>
      <c r="B17" s="4" t="s">
        <v>197</v>
      </c>
      <c r="C17" s="4" t="s">
        <v>155</v>
      </c>
      <c r="D17" s="4" t="s">
        <v>144</v>
      </c>
      <c r="E17" s="4" t="s">
        <v>29</v>
      </c>
      <c r="F17" s="4" t="s">
        <v>156</v>
      </c>
      <c r="G17" s="4" t="s">
        <v>157</v>
      </c>
      <c r="H17" s="4" t="s">
        <v>85</v>
      </c>
      <c r="I17" s="4" t="s">
        <v>68</v>
      </c>
      <c r="J17" s="4">
        <v>444</v>
      </c>
      <c r="K17" s="4" t="s">
        <v>118</v>
      </c>
      <c r="L17" s="4">
        <v>1000</v>
      </c>
      <c r="M17" s="4" t="s">
        <v>73</v>
      </c>
      <c r="N17" s="4" t="s">
        <v>101</v>
      </c>
      <c r="O17" s="4" t="s">
        <v>200</v>
      </c>
      <c r="P17" s="4"/>
      <c r="Q17" s="4"/>
      <c r="R17" s="4"/>
      <c r="S17" s="4" t="str">
        <f>IF(FinalTestGrid[[#This Row],[Property]]="Color Change E","Not Required","")</f>
        <v>Not Required</v>
      </c>
      <c r="T17" s="4">
        <v>2</v>
      </c>
      <c r="U17" s="6" cm="1">
        <f t="array" ref="U17">IFERROR(_xlfn.SWITCH(TRUE,FinalTestGrid[[#This Row],[Property]]="Color Change E",(T17-T16),FinalTestGrid[[#This Row],[Time]]=0,0,(T17-T16)/T16*100),"")</f>
        <v>1</v>
      </c>
      <c r="V17" s="6" cm="1">
        <f t="array" ref="V17">IFERROR(_xlfn.SWITCH(TRUE,FinalTestGrid[[#This Row],[Property]]="Color Change E",T17,FinalTestGrid[[#This Row],[Time]]=0,0,(FinalTestGrid[[#This Row],[Exposure Value]]-FinalTestGrid[[#This Row],[Initial Value]])/FinalTestGrid[[#This Row],[Initial Value]]*100),"")</f>
        <v>2</v>
      </c>
      <c r="W17" s="4"/>
      <c r="X17" s="4"/>
      <c r="Y17" s="4"/>
      <c r="Z17" s="4"/>
      <c r="AA17" s="4"/>
    </row>
    <row r="18" spans="1:27" hidden="1" x14ac:dyDescent="0.25">
      <c r="A18" s="4" t="s">
        <v>195</v>
      </c>
      <c r="B18" s="4" t="s">
        <v>197</v>
      </c>
      <c r="C18" s="4" t="s">
        <v>155</v>
      </c>
      <c r="D18" s="4" t="s">
        <v>144</v>
      </c>
      <c r="E18" s="4" t="s">
        <v>29</v>
      </c>
      <c r="F18" s="4" t="s">
        <v>156</v>
      </c>
      <c r="G18" s="4" t="s">
        <v>157</v>
      </c>
      <c r="H18" s="4" t="s">
        <v>86</v>
      </c>
      <c r="I18" s="4" t="s">
        <v>68</v>
      </c>
      <c r="J18" s="4">
        <v>444</v>
      </c>
      <c r="K18" s="4" t="s">
        <v>118</v>
      </c>
      <c r="L18" s="4">
        <v>1500</v>
      </c>
      <c r="M18" s="4" t="s">
        <v>73</v>
      </c>
      <c r="N18" s="4" t="s">
        <v>101</v>
      </c>
      <c r="O18" s="4" t="s">
        <v>201</v>
      </c>
      <c r="P18" s="4"/>
      <c r="Q18" s="4"/>
      <c r="R18" s="4"/>
      <c r="S18" s="4" t="str">
        <f>IF(FinalTestGrid[[#This Row],[Property]]="Color Change E","Not Required","")</f>
        <v>Not Required</v>
      </c>
      <c r="T18" s="4">
        <v>3</v>
      </c>
      <c r="U18" s="6" cm="1">
        <f t="array" ref="U18">IFERROR(_xlfn.SWITCH(TRUE,FinalTestGrid[[#This Row],[Property]]="Color Change E",(T18-T17),FinalTestGrid[[#This Row],[Time]]=0,0,(T18-T17)/T17*100),"")</f>
        <v>1</v>
      </c>
      <c r="V18" s="6" cm="1">
        <f t="array" ref="V18">IFERROR(_xlfn.SWITCH(TRUE,FinalTestGrid[[#This Row],[Property]]="Color Change E",T18,FinalTestGrid[[#This Row],[Time]]=0,0,(FinalTestGrid[[#This Row],[Exposure Value]]-FinalTestGrid[[#This Row],[Initial Value]])/FinalTestGrid[[#This Row],[Initial Value]]*100),"")</f>
        <v>3</v>
      </c>
      <c r="W18" s="4"/>
      <c r="X18" s="4"/>
      <c r="Y18" s="4"/>
      <c r="Z18" s="4"/>
      <c r="AA18" s="4"/>
    </row>
    <row r="19" spans="1:27" hidden="1" x14ac:dyDescent="0.25">
      <c r="A19" s="4" t="s">
        <v>195</v>
      </c>
      <c r="B19" s="4" t="s">
        <v>197</v>
      </c>
      <c r="C19" s="4" t="s">
        <v>155</v>
      </c>
      <c r="D19" s="4" t="s">
        <v>144</v>
      </c>
      <c r="E19" s="4" t="s">
        <v>29</v>
      </c>
      <c r="F19" s="4" t="s">
        <v>156</v>
      </c>
      <c r="G19" s="4" t="s">
        <v>157</v>
      </c>
      <c r="H19" s="4" t="s">
        <v>87</v>
      </c>
      <c r="I19" s="4" t="s">
        <v>68</v>
      </c>
      <c r="J19" s="4">
        <v>444</v>
      </c>
      <c r="K19" s="4" t="s">
        <v>118</v>
      </c>
      <c r="L19" s="4">
        <v>2000</v>
      </c>
      <c r="M19" s="4" t="s">
        <v>73</v>
      </c>
      <c r="N19" s="4" t="s">
        <v>101</v>
      </c>
      <c r="O19" s="4" t="s">
        <v>202</v>
      </c>
      <c r="P19" s="4"/>
      <c r="Q19" s="4"/>
      <c r="R19" s="4"/>
      <c r="S19" s="4" t="str">
        <f>IF(FinalTestGrid[[#This Row],[Property]]="Color Change E","Not Required","")</f>
        <v>Not Required</v>
      </c>
      <c r="T19" s="4">
        <v>4</v>
      </c>
      <c r="U19" s="6" cm="1">
        <f t="array" ref="U19">IFERROR(_xlfn.SWITCH(TRUE,FinalTestGrid[[#This Row],[Property]]="Color Change E",(T19-T18),FinalTestGrid[[#This Row],[Time]]=0,0,(T19-T18)/T18*100),"")</f>
        <v>1</v>
      </c>
      <c r="V19" s="6" cm="1">
        <f t="array" ref="V19">IFERROR(_xlfn.SWITCH(TRUE,FinalTestGrid[[#This Row],[Property]]="Color Change E",T19,FinalTestGrid[[#This Row],[Time]]=0,0,(FinalTestGrid[[#This Row],[Exposure Value]]-FinalTestGrid[[#This Row],[Initial Value]])/FinalTestGrid[[#This Row],[Initial Value]]*100),"")</f>
        <v>4</v>
      </c>
      <c r="W19" s="4"/>
      <c r="X19" s="4"/>
      <c r="Y19" s="4"/>
      <c r="Z19" s="4"/>
      <c r="AA19" s="4"/>
    </row>
    <row r="20" spans="1:27" hidden="1" x14ac:dyDescent="0.25">
      <c r="A20" s="4" t="s">
        <v>195</v>
      </c>
      <c r="B20" s="4" t="s">
        <v>197</v>
      </c>
      <c r="C20" s="4" t="s">
        <v>155</v>
      </c>
      <c r="D20" s="4" t="s">
        <v>144</v>
      </c>
      <c r="E20" s="4" t="s">
        <v>29</v>
      </c>
      <c r="F20" s="4" t="s">
        <v>156</v>
      </c>
      <c r="G20" s="4" t="s">
        <v>157</v>
      </c>
      <c r="H20" s="4" t="s">
        <v>138</v>
      </c>
      <c r="I20" s="4" t="s">
        <v>68</v>
      </c>
      <c r="J20" s="4">
        <v>444</v>
      </c>
      <c r="K20" s="4" t="s">
        <v>118</v>
      </c>
      <c r="L20" s="4">
        <v>0</v>
      </c>
      <c r="M20" s="4" t="s">
        <v>73</v>
      </c>
      <c r="N20" s="4" t="s">
        <v>97</v>
      </c>
      <c r="O20" s="4" t="s">
        <v>203</v>
      </c>
      <c r="P20" s="4"/>
      <c r="Q20" s="4"/>
      <c r="R20" s="4"/>
      <c r="S20" s="4">
        <v>20</v>
      </c>
      <c r="T20" s="4">
        <v>20</v>
      </c>
      <c r="U20" s="6" cm="1">
        <f t="array" ref="U20">IFERROR(_xlfn.SWITCH(TRUE,FinalTestGrid[[#This Row],[Property]]="Color Change E",(T20-T19),FinalTestGrid[[#This Row],[Time]]=0,0,(T20-T19)/T19*100),"")</f>
        <v>0</v>
      </c>
      <c r="V20" s="6" cm="1">
        <f t="array" ref="V20">IFERROR(_xlfn.SWITCH(TRUE,FinalTestGrid[[#This Row],[Property]]="Color Change E",T20,FinalTestGrid[[#This Row],[Time]]=0,0,(FinalTestGrid[[#This Row],[Exposure Value]]-FinalTestGrid[[#This Row],[Initial Value]])/FinalTestGrid[[#This Row],[Initial Value]]*100),"")</f>
        <v>0</v>
      </c>
      <c r="W20" s="4"/>
      <c r="X20" s="4"/>
      <c r="Y20" s="4"/>
      <c r="Z20" s="4"/>
      <c r="AA20" s="4"/>
    </row>
    <row r="21" spans="1:27" hidden="1" x14ac:dyDescent="0.25">
      <c r="A21" s="4" t="s">
        <v>195</v>
      </c>
      <c r="B21" s="4" t="s">
        <v>197</v>
      </c>
      <c r="C21" s="4" t="s">
        <v>155</v>
      </c>
      <c r="D21" s="4" t="s">
        <v>144</v>
      </c>
      <c r="E21" s="4" t="s">
        <v>29</v>
      </c>
      <c r="F21" s="4" t="s">
        <v>156</v>
      </c>
      <c r="G21" s="4" t="s">
        <v>157</v>
      </c>
      <c r="H21" s="4" t="s">
        <v>67</v>
      </c>
      <c r="I21" s="4" t="s">
        <v>68</v>
      </c>
      <c r="J21" s="4">
        <v>444</v>
      </c>
      <c r="K21" s="4" t="s">
        <v>118</v>
      </c>
      <c r="L21" s="4">
        <v>500</v>
      </c>
      <c r="M21" s="4" t="s">
        <v>73</v>
      </c>
      <c r="N21" s="4" t="s">
        <v>97</v>
      </c>
      <c r="O21" s="4" t="s">
        <v>204</v>
      </c>
      <c r="P21" s="4"/>
      <c r="Q21" s="4"/>
      <c r="R21" s="4"/>
      <c r="S21" s="4">
        <v>20</v>
      </c>
      <c r="T21" s="4">
        <v>18</v>
      </c>
      <c r="U21" s="6" cm="1">
        <f t="array" ref="U21">IFERROR(_xlfn.SWITCH(TRUE,FinalTestGrid[[#This Row],[Property]]="Color Change E",(T21-T20),FinalTestGrid[[#This Row],[Time]]=0,0,(T21-T20)/T20*100),"")</f>
        <v>-10</v>
      </c>
      <c r="V21" s="6" cm="1">
        <f t="array" ref="V21">IFERROR(_xlfn.SWITCH(TRUE,FinalTestGrid[[#This Row],[Property]]="Color Change E",T21,FinalTestGrid[[#This Row],[Time]]=0,0,(FinalTestGrid[[#This Row],[Exposure Value]]-FinalTestGrid[[#This Row],[Initial Value]])/FinalTestGrid[[#This Row],[Initial Value]]*100),"")</f>
        <v>-10</v>
      </c>
      <c r="W21" s="4"/>
      <c r="X21" s="4"/>
      <c r="Y21" s="4"/>
      <c r="Z21" s="4"/>
      <c r="AA21" s="4"/>
    </row>
    <row r="22" spans="1:27" hidden="1" x14ac:dyDescent="0.25">
      <c r="A22" s="4" t="s">
        <v>195</v>
      </c>
      <c r="B22" s="4" t="s">
        <v>197</v>
      </c>
      <c r="C22" s="4" t="s">
        <v>155</v>
      </c>
      <c r="D22" s="4" t="s">
        <v>144</v>
      </c>
      <c r="E22" s="4" t="s">
        <v>29</v>
      </c>
      <c r="F22" s="4" t="s">
        <v>156</v>
      </c>
      <c r="G22" s="4" t="s">
        <v>157</v>
      </c>
      <c r="H22" s="4" t="s">
        <v>75</v>
      </c>
      <c r="I22" s="4" t="s">
        <v>68</v>
      </c>
      <c r="J22" s="4">
        <v>444</v>
      </c>
      <c r="K22" s="4" t="s">
        <v>118</v>
      </c>
      <c r="L22" s="4">
        <v>1000</v>
      </c>
      <c r="M22" s="4" t="s">
        <v>73</v>
      </c>
      <c r="N22" s="4" t="s">
        <v>97</v>
      </c>
      <c r="O22" s="4" t="s">
        <v>205</v>
      </c>
      <c r="P22" s="4"/>
      <c r="Q22" s="4"/>
      <c r="R22" s="4"/>
      <c r="S22" s="4">
        <v>20</v>
      </c>
      <c r="T22" s="4">
        <v>16</v>
      </c>
      <c r="U22" s="6" cm="1">
        <f t="array" ref="U22">IFERROR(_xlfn.SWITCH(TRUE,FinalTestGrid[[#This Row],[Property]]="Color Change E",(T22-T21),FinalTestGrid[[#This Row],[Time]]=0,0,(T22-T21)/T21*100),"")</f>
        <v>-11.111111111111111</v>
      </c>
      <c r="V22" s="6" cm="1">
        <f t="array" ref="V22">IFERROR(_xlfn.SWITCH(TRUE,FinalTestGrid[[#This Row],[Property]]="Color Change E",T22,FinalTestGrid[[#This Row],[Time]]=0,0,(FinalTestGrid[[#This Row],[Exposure Value]]-FinalTestGrid[[#This Row],[Initial Value]])/FinalTestGrid[[#This Row],[Initial Value]]*100),"")</f>
        <v>-20</v>
      </c>
      <c r="W22" s="4"/>
      <c r="X22" s="4"/>
      <c r="Y22" s="4"/>
      <c r="Z22" s="4"/>
      <c r="AA22" s="4"/>
    </row>
    <row r="23" spans="1:27" hidden="1" x14ac:dyDescent="0.25">
      <c r="A23" s="4" t="s">
        <v>195</v>
      </c>
      <c r="B23" s="4" t="s">
        <v>197</v>
      </c>
      <c r="C23" s="4" t="s">
        <v>155</v>
      </c>
      <c r="D23" s="4" t="s">
        <v>144</v>
      </c>
      <c r="E23" s="4" t="s">
        <v>29</v>
      </c>
      <c r="F23" s="4" t="s">
        <v>156</v>
      </c>
      <c r="G23" s="4" t="s">
        <v>157</v>
      </c>
      <c r="H23" s="4" t="s">
        <v>76</v>
      </c>
      <c r="I23" s="4" t="s">
        <v>68</v>
      </c>
      <c r="J23" s="4">
        <v>444</v>
      </c>
      <c r="K23" s="4" t="s">
        <v>118</v>
      </c>
      <c r="L23" s="4">
        <v>1500</v>
      </c>
      <c r="M23" s="4" t="s">
        <v>73</v>
      </c>
      <c r="N23" s="4" t="s">
        <v>97</v>
      </c>
      <c r="O23" s="4" t="s">
        <v>206</v>
      </c>
      <c r="P23" s="4"/>
      <c r="Q23" s="4"/>
      <c r="R23" s="4"/>
      <c r="S23" s="4">
        <v>20</v>
      </c>
      <c r="T23" s="4">
        <v>14</v>
      </c>
      <c r="U23" s="6" cm="1">
        <f t="array" ref="U23">IFERROR(_xlfn.SWITCH(TRUE,FinalTestGrid[[#This Row],[Property]]="Color Change E",(T23-T22),FinalTestGrid[[#This Row],[Time]]=0,0,(T23-T22)/T22*100),"")</f>
        <v>-12.5</v>
      </c>
      <c r="V23" s="6" cm="1">
        <f t="array" ref="V23">IFERROR(_xlfn.SWITCH(TRUE,FinalTestGrid[[#This Row],[Property]]="Color Change E",T23,FinalTestGrid[[#This Row],[Time]]=0,0,(FinalTestGrid[[#This Row],[Exposure Value]]-FinalTestGrid[[#This Row],[Initial Value]])/FinalTestGrid[[#This Row],[Initial Value]]*100),"")</f>
        <v>-30</v>
      </c>
      <c r="W23" s="4"/>
      <c r="X23" s="4"/>
      <c r="Y23" s="4"/>
      <c r="Z23" s="4"/>
      <c r="AA23" s="4"/>
    </row>
    <row r="24" spans="1:27" hidden="1" x14ac:dyDescent="0.25">
      <c r="A24" s="4" t="s">
        <v>195</v>
      </c>
      <c r="B24" s="4" t="s">
        <v>197</v>
      </c>
      <c r="C24" s="4" t="s">
        <v>155</v>
      </c>
      <c r="D24" s="4" t="s">
        <v>144</v>
      </c>
      <c r="E24" s="4" t="s">
        <v>29</v>
      </c>
      <c r="F24" s="4" t="s">
        <v>156</v>
      </c>
      <c r="G24" s="4" t="s">
        <v>157</v>
      </c>
      <c r="H24" s="4" t="s">
        <v>77</v>
      </c>
      <c r="I24" s="4" t="s">
        <v>68</v>
      </c>
      <c r="J24" s="4">
        <v>444</v>
      </c>
      <c r="K24" s="4" t="s">
        <v>118</v>
      </c>
      <c r="L24" s="4">
        <v>2000</v>
      </c>
      <c r="M24" s="4" t="s">
        <v>73</v>
      </c>
      <c r="N24" s="4" t="s">
        <v>97</v>
      </c>
      <c r="O24" s="4" t="s">
        <v>207</v>
      </c>
      <c r="P24" s="4"/>
      <c r="Q24" s="4"/>
      <c r="R24" s="4"/>
      <c r="S24" s="4">
        <v>20</v>
      </c>
      <c r="T24" s="4">
        <v>6</v>
      </c>
      <c r="U24" s="6" cm="1">
        <f t="array" ref="U24">IFERROR(_xlfn.SWITCH(TRUE,FinalTestGrid[[#This Row],[Property]]="Color Change E",(T24-T23),FinalTestGrid[[#This Row],[Time]]=0,0,(T24-T23)/T23*100),"")</f>
        <v>-57.142857142857139</v>
      </c>
      <c r="V24" s="6" cm="1">
        <f t="array" ref="V24">IFERROR(_xlfn.SWITCH(TRUE,FinalTestGrid[[#This Row],[Property]]="Color Change E",T24,FinalTestGrid[[#This Row],[Time]]=0,0,(FinalTestGrid[[#This Row],[Exposure Value]]-FinalTestGrid[[#This Row],[Initial Value]])/FinalTestGrid[[#This Row],[Initial Value]]*100),"")</f>
        <v>-70</v>
      </c>
      <c r="W24" s="4"/>
      <c r="X24" s="4"/>
      <c r="Y24" s="4"/>
      <c r="Z24" s="4"/>
      <c r="AA24" s="4"/>
    </row>
    <row r="25" spans="1:27" hidden="1" x14ac:dyDescent="0.25">
      <c r="A25" s="4" t="s">
        <v>195</v>
      </c>
      <c r="B25" s="4" t="s">
        <v>198</v>
      </c>
      <c r="C25" s="4" t="s">
        <v>155</v>
      </c>
      <c r="D25" s="4" t="s">
        <v>144</v>
      </c>
      <c r="E25" s="4" t="s">
        <v>29</v>
      </c>
      <c r="F25" s="4" t="s">
        <v>174</v>
      </c>
      <c r="G25" s="4" t="s">
        <v>175</v>
      </c>
      <c r="H25" s="4" t="s">
        <v>84</v>
      </c>
      <c r="I25" s="4" t="s">
        <v>68</v>
      </c>
      <c r="J25" s="4">
        <v>444</v>
      </c>
      <c r="K25" s="4" t="s">
        <v>118</v>
      </c>
      <c r="L25" s="4">
        <v>500</v>
      </c>
      <c r="M25" s="4" t="s">
        <v>73</v>
      </c>
      <c r="N25" s="4" t="s">
        <v>101</v>
      </c>
      <c r="O25" s="4" t="s">
        <v>208</v>
      </c>
      <c r="P25" s="4"/>
      <c r="Q25" s="4"/>
      <c r="R25" s="4"/>
      <c r="S25" s="4" t="str">
        <f>IF(FinalTestGrid[[#This Row],[Property]]="Color Change E","Not Required","")</f>
        <v>Not Required</v>
      </c>
      <c r="T25" s="4"/>
      <c r="U25" s="6" cm="1">
        <f t="array" ref="U25">IFERROR(_xlfn.SWITCH(TRUE,FinalTestGrid[[#This Row],[Property]]="Color Change E",(T25-T24),FinalTestGrid[[#This Row],[Time]]=0,0,(T25-T24)/T24*100),"")</f>
        <v>-6</v>
      </c>
      <c r="V25" s="6" cm="1">
        <f t="array" ref="V25">IFERROR(_xlfn.SWITCH(TRUE,FinalTestGrid[[#This Row],[Property]]="Color Change E",T25,FinalTestGrid[[#This Row],[Time]]=0,0,(FinalTestGrid[[#This Row],[Exposure Value]]-FinalTestGrid[[#This Row],[Initial Value]])/FinalTestGrid[[#This Row],[Initial Value]]*100),"")</f>
        <v>0</v>
      </c>
      <c r="W25" s="4"/>
      <c r="X25" s="4"/>
      <c r="Y25" s="4"/>
      <c r="Z25" s="4"/>
      <c r="AA25" s="4"/>
    </row>
    <row r="26" spans="1:27" hidden="1" x14ac:dyDescent="0.25">
      <c r="A26" s="4" t="s">
        <v>195</v>
      </c>
      <c r="B26" s="4" t="s">
        <v>198</v>
      </c>
      <c r="C26" s="4" t="s">
        <v>155</v>
      </c>
      <c r="D26" s="4" t="s">
        <v>144</v>
      </c>
      <c r="E26" s="4" t="s">
        <v>29</v>
      </c>
      <c r="F26" s="4" t="s">
        <v>174</v>
      </c>
      <c r="G26" s="4" t="s">
        <v>175</v>
      </c>
      <c r="H26" s="4" t="s">
        <v>85</v>
      </c>
      <c r="I26" s="4" t="s">
        <v>68</v>
      </c>
      <c r="J26" s="4">
        <v>444</v>
      </c>
      <c r="K26" s="4" t="s">
        <v>118</v>
      </c>
      <c r="L26" s="4">
        <v>1000</v>
      </c>
      <c r="M26" s="4" t="s">
        <v>73</v>
      </c>
      <c r="N26" s="4" t="s">
        <v>101</v>
      </c>
      <c r="O26" s="4" t="s">
        <v>209</v>
      </c>
      <c r="P26" s="4"/>
      <c r="Q26" s="4"/>
      <c r="R26" s="4"/>
      <c r="S26" s="4" t="str">
        <f>IF(FinalTestGrid[[#This Row],[Property]]="Color Change E","Not Required","")</f>
        <v>Not Required</v>
      </c>
      <c r="T26" s="4"/>
      <c r="U26" s="6" cm="1">
        <f t="array" ref="U26">IFERROR(_xlfn.SWITCH(TRUE,FinalTestGrid[[#This Row],[Property]]="Color Change E",(T26-T25),FinalTestGrid[[#This Row],[Time]]=0,0,(T26-T25)/T25*100),"")</f>
        <v>0</v>
      </c>
      <c r="V26" s="6" cm="1">
        <f t="array" ref="V26">IFERROR(_xlfn.SWITCH(TRUE,FinalTestGrid[[#This Row],[Property]]="Color Change E",T26,FinalTestGrid[[#This Row],[Time]]=0,0,(FinalTestGrid[[#This Row],[Exposure Value]]-FinalTestGrid[[#This Row],[Initial Value]])/FinalTestGrid[[#This Row],[Initial Value]]*100),"")</f>
        <v>0</v>
      </c>
      <c r="W26" s="4"/>
      <c r="X26" s="4"/>
      <c r="Y26" s="4"/>
      <c r="Z26" s="4"/>
      <c r="AA26" s="4"/>
    </row>
    <row r="27" spans="1:27" hidden="1" x14ac:dyDescent="0.25">
      <c r="A27" s="4" t="s">
        <v>195</v>
      </c>
      <c r="B27" s="4" t="s">
        <v>198</v>
      </c>
      <c r="C27" s="4" t="s">
        <v>155</v>
      </c>
      <c r="D27" s="4" t="s">
        <v>144</v>
      </c>
      <c r="E27" s="4" t="s">
        <v>29</v>
      </c>
      <c r="F27" s="4" t="s">
        <v>174</v>
      </c>
      <c r="G27" s="4" t="s">
        <v>175</v>
      </c>
      <c r="H27" s="4" t="s">
        <v>86</v>
      </c>
      <c r="I27" s="4" t="s">
        <v>68</v>
      </c>
      <c r="J27" s="4">
        <v>444</v>
      </c>
      <c r="K27" s="4" t="s">
        <v>118</v>
      </c>
      <c r="L27" s="4">
        <v>1500</v>
      </c>
      <c r="M27" s="4" t="s">
        <v>73</v>
      </c>
      <c r="N27" s="4" t="s">
        <v>101</v>
      </c>
      <c r="O27" s="4" t="s">
        <v>210</v>
      </c>
      <c r="P27" s="4"/>
      <c r="Q27" s="4"/>
      <c r="R27" s="4"/>
      <c r="S27" s="4" t="str">
        <f>IF(FinalTestGrid[[#This Row],[Property]]="Color Change E","Not Required","")</f>
        <v>Not Required</v>
      </c>
      <c r="T27" s="4"/>
      <c r="U27" s="6" cm="1">
        <f t="array" ref="U27">IFERROR(_xlfn.SWITCH(TRUE,FinalTestGrid[[#This Row],[Property]]="Color Change E",(T27-T26),FinalTestGrid[[#This Row],[Time]]=0,0,(T27-T26)/T26*100),"")</f>
        <v>0</v>
      </c>
      <c r="V27" s="6" cm="1">
        <f t="array" ref="V27">IFERROR(_xlfn.SWITCH(TRUE,FinalTestGrid[[#This Row],[Property]]="Color Change E",T27,FinalTestGrid[[#This Row],[Time]]=0,0,(FinalTestGrid[[#This Row],[Exposure Value]]-FinalTestGrid[[#This Row],[Initial Value]])/FinalTestGrid[[#This Row],[Initial Value]]*100),"")</f>
        <v>0</v>
      </c>
      <c r="W27" s="4"/>
      <c r="X27" s="4"/>
      <c r="Y27" s="4"/>
      <c r="Z27" s="4"/>
      <c r="AA27" s="4"/>
    </row>
    <row r="28" spans="1:27" hidden="1" x14ac:dyDescent="0.25">
      <c r="A28" s="4" t="s">
        <v>195</v>
      </c>
      <c r="B28" s="4" t="s">
        <v>198</v>
      </c>
      <c r="C28" s="4" t="s">
        <v>155</v>
      </c>
      <c r="D28" s="4" t="s">
        <v>144</v>
      </c>
      <c r="E28" s="4" t="s">
        <v>29</v>
      </c>
      <c r="F28" s="4" t="s">
        <v>174</v>
      </c>
      <c r="G28" s="4" t="s">
        <v>175</v>
      </c>
      <c r="H28" s="4" t="s">
        <v>87</v>
      </c>
      <c r="I28" s="4" t="s">
        <v>68</v>
      </c>
      <c r="J28" s="4">
        <v>444</v>
      </c>
      <c r="K28" s="4" t="s">
        <v>118</v>
      </c>
      <c r="L28" s="4">
        <v>2000</v>
      </c>
      <c r="M28" s="4" t="s">
        <v>73</v>
      </c>
      <c r="N28" s="4" t="s">
        <v>101</v>
      </c>
      <c r="O28" s="4" t="s">
        <v>211</v>
      </c>
      <c r="P28" s="4"/>
      <c r="Q28" s="4"/>
      <c r="R28" s="4"/>
      <c r="S28" s="4" t="str">
        <f>IF(FinalTestGrid[[#This Row],[Property]]="Color Change E","Not Required","")</f>
        <v>Not Required</v>
      </c>
      <c r="T28" s="4"/>
      <c r="U28" s="6" cm="1">
        <f t="array" ref="U28">IFERROR(_xlfn.SWITCH(TRUE,FinalTestGrid[[#This Row],[Property]]="Color Change E",(T28-T27),FinalTestGrid[[#This Row],[Time]]=0,0,(T28-T27)/T27*100),"")</f>
        <v>0</v>
      </c>
      <c r="V28" s="6" cm="1">
        <f t="array" ref="V28">IFERROR(_xlfn.SWITCH(TRUE,FinalTestGrid[[#This Row],[Property]]="Color Change E",T28,FinalTestGrid[[#This Row],[Time]]=0,0,(FinalTestGrid[[#This Row],[Exposure Value]]-FinalTestGrid[[#This Row],[Initial Value]])/FinalTestGrid[[#This Row],[Initial Value]]*100),"")</f>
        <v>0</v>
      </c>
      <c r="W28" s="4"/>
      <c r="X28" s="4"/>
      <c r="Y28" s="4"/>
      <c r="Z28" s="4"/>
      <c r="AA28" s="4"/>
    </row>
    <row r="29" spans="1:27" x14ac:dyDescent="0.25">
      <c r="A29" s="4" t="s">
        <v>195</v>
      </c>
      <c r="B29" s="4" t="s">
        <v>198</v>
      </c>
      <c r="C29" s="4" t="s">
        <v>155</v>
      </c>
      <c r="D29" s="4" t="s">
        <v>144</v>
      </c>
      <c r="E29" s="4" t="s">
        <v>29</v>
      </c>
      <c r="F29" s="4" t="s">
        <v>174</v>
      </c>
      <c r="G29" s="4" t="s">
        <v>175</v>
      </c>
      <c r="H29" s="4" t="s">
        <v>138</v>
      </c>
      <c r="I29" s="4" t="s">
        <v>68</v>
      </c>
      <c r="J29" s="4">
        <v>444</v>
      </c>
      <c r="K29" s="4" t="s">
        <v>118</v>
      </c>
      <c r="L29" s="4">
        <v>0</v>
      </c>
      <c r="M29" s="4" t="s">
        <v>73</v>
      </c>
      <c r="N29" s="4" t="s">
        <v>97</v>
      </c>
      <c r="O29" s="4" t="s">
        <v>212</v>
      </c>
      <c r="P29" s="4"/>
      <c r="Q29" s="4"/>
      <c r="R29" s="4"/>
      <c r="S29" s="4" t="str">
        <f>IF(FinalTestGrid[[#This Row],[Property]]="Color Change E","Not Required","")</f>
        <v/>
      </c>
      <c r="T29" s="4"/>
      <c r="U29" s="6" cm="1">
        <f t="array" ref="U29">IFERROR(_xlfn.SWITCH(TRUE,FinalTestGrid[[#This Row],[Property]]="Color Change E",(T29-T28),FinalTestGrid[[#This Row],[Time]]=0,0,(T29-T28)/T28*100),"")</f>
        <v>0</v>
      </c>
      <c r="V29" s="6" cm="1">
        <f t="array" ref="V29">IFERROR(_xlfn.SWITCH(TRUE,FinalTestGrid[[#This Row],[Property]]="Color Change E",T29,FinalTestGrid[[#This Row],[Time]]=0,0,(FinalTestGrid[[#This Row],[Exposure Value]]-FinalTestGrid[[#This Row],[Initial Value]])/FinalTestGrid[[#This Row],[Initial Value]]*100),"")</f>
        <v>0</v>
      </c>
      <c r="W29" s="4"/>
      <c r="X29" s="4"/>
      <c r="Y29" s="4"/>
      <c r="Z29" s="4"/>
      <c r="AA29" s="4"/>
    </row>
    <row r="30" spans="1:27" x14ac:dyDescent="0.25">
      <c r="A30" s="4" t="s">
        <v>195</v>
      </c>
      <c r="B30" s="4" t="s">
        <v>198</v>
      </c>
      <c r="C30" s="4" t="s">
        <v>155</v>
      </c>
      <c r="D30" s="4" t="s">
        <v>144</v>
      </c>
      <c r="E30" s="4" t="s">
        <v>29</v>
      </c>
      <c r="F30" s="4" t="s">
        <v>174</v>
      </c>
      <c r="G30" s="4" t="s">
        <v>175</v>
      </c>
      <c r="H30" s="4" t="s">
        <v>67</v>
      </c>
      <c r="I30" s="4" t="s">
        <v>68</v>
      </c>
      <c r="J30" s="4">
        <v>444</v>
      </c>
      <c r="K30" s="4" t="s">
        <v>118</v>
      </c>
      <c r="L30" s="4">
        <v>500</v>
      </c>
      <c r="M30" s="4" t="s">
        <v>73</v>
      </c>
      <c r="N30" s="4" t="s">
        <v>97</v>
      </c>
      <c r="O30" s="4" t="s">
        <v>213</v>
      </c>
      <c r="P30" s="4"/>
      <c r="Q30" s="4"/>
      <c r="R30" s="4"/>
      <c r="S30" s="4" t="str">
        <f>IF(FinalTestGrid[[#This Row],[Property]]="Color Change E","Not Required","")</f>
        <v/>
      </c>
      <c r="T30" s="4"/>
      <c r="U30" s="6" t="str" cm="1">
        <f t="array" ref="U30">IFERROR(_xlfn.SWITCH(TRUE,FinalTestGrid[[#This Row],[Property]]="Color Change E",(T30-T29),FinalTestGrid[[#This Row],[Time]]=0,0,(T30-T29)/T29*100),"")</f>
        <v/>
      </c>
      <c r="V30" s="6" t="str" cm="1">
        <f t="array" ref="V30">IFERROR(_xlfn.SWITCH(TRUE,FinalTestGrid[[#This Row],[Property]]="Color Change E",T30,FinalTestGrid[[#This Row],[Time]]=0,0,(FinalTestGrid[[#This Row],[Exposure Value]]-FinalTestGrid[[#This Row],[Initial Value]])/FinalTestGrid[[#This Row],[Initial Value]]*100),"")</f>
        <v/>
      </c>
      <c r="W30" s="4"/>
      <c r="X30" s="4"/>
      <c r="Y30" s="4"/>
      <c r="Z30" s="4"/>
      <c r="AA30" s="4"/>
    </row>
    <row r="31" spans="1:27" x14ac:dyDescent="0.25">
      <c r="A31" s="4" t="s">
        <v>195</v>
      </c>
      <c r="B31" s="4" t="s">
        <v>198</v>
      </c>
      <c r="C31" s="4" t="s">
        <v>155</v>
      </c>
      <c r="D31" s="4" t="s">
        <v>144</v>
      </c>
      <c r="E31" s="4" t="s">
        <v>29</v>
      </c>
      <c r="F31" s="4" t="s">
        <v>174</v>
      </c>
      <c r="G31" s="4" t="s">
        <v>175</v>
      </c>
      <c r="H31" s="4" t="s">
        <v>75</v>
      </c>
      <c r="I31" s="4" t="s">
        <v>68</v>
      </c>
      <c r="J31" s="4">
        <v>444</v>
      </c>
      <c r="K31" s="4" t="s">
        <v>118</v>
      </c>
      <c r="L31" s="4">
        <v>1000</v>
      </c>
      <c r="M31" s="4" t="s">
        <v>73</v>
      </c>
      <c r="N31" s="4" t="s">
        <v>97</v>
      </c>
      <c r="O31" s="4" t="s">
        <v>214</v>
      </c>
      <c r="P31" s="4"/>
      <c r="Q31" s="4"/>
      <c r="R31" s="4"/>
      <c r="S31" s="4" t="str">
        <f>IF(FinalTestGrid[[#This Row],[Property]]="Color Change E","Not Required","")</f>
        <v/>
      </c>
      <c r="T31" s="4"/>
      <c r="U31" s="6" t="str" cm="1">
        <f t="array" ref="U31">IFERROR(_xlfn.SWITCH(TRUE,FinalTestGrid[[#This Row],[Property]]="Color Change E",(T31-T30),FinalTestGrid[[#This Row],[Time]]=0,0,(T31-T30)/T30*100),"")</f>
        <v/>
      </c>
      <c r="V31" s="6" t="str" cm="1">
        <f t="array" ref="V31">IFERROR(_xlfn.SWITCH(TRUE,FinalTestGrid[[#This Row],[Property]]="Color Change E",T31,FinalTestGrid[[#This Row],[Time]]=0,0,(FinalTestGrid[[#This Row],[Exposure Value]]-FinalTestGrid[[#This Row],[Initial Value]])/FinalTestGrid[[#This Row],[Initial Value]]*100),"")</f>
        <v/>
      </c>
      <c r="W31" s="4"/>
      <c r="X31" s="4"/>
      <c r="Y31" s="4"/>
      <c r="Z31" s="4"/>
      <c r="AA31" s="4"/>
    </row>
    <row r="32" spans="1:27" x14ac:dyDescent="0.25">
      <c r="A32" s="4" t="s">
        <v>195</v>
      </c>
      <c r="B32" s="4" t="s">
        <v>198</v>
      </c>
      <c r="C32" s="4" t="s">
        <v>155</v>
      </c>
      <c r="D32" s="4" t="s">
        <v>144</v>
      </c>
      <c r="E32" s="4" t="s">
        <v>29</v>
      </c>
      <c r="F32" s="4" t="s">
        <v>174</v>
      </c>
      <c r="G32" s="4" t="s">
        <v>175</v>
      </c>
      <c r="H32" s="4" t="s">
        <v>76</v>
      </c>
      <c r="I32" s="4" t="s">
        <v>68</v>
      </c>
      <c r="J32" s="4">
        <v>444</v>
      </c>
      <c r="K32" s="4" t="s">
        <v>118</v>
      </c>
      <c r="L32" s="4">
        <v>1500</v>
      </c>
      <c r="M32" s="4" t="s">
        <v>73</v>
      </c>
      <c r="N32" s="4" t="s">
        <v>97</v>
      </c>
      <c r="O32" s="4" t="s">
        <v>215</v>
      </c>
      <c r="P32" s="4"/>
      <c r="Q32" s="4"/>
      <c r="R32" s="4"/>
      <c r="S32" s="4" t="str">
        <f>IF(FinalTestGrid[[#This Row],[Property]]="Color Change E","Not Required","")</f>
        <v/>
      </c>
      <c r="T32" s="4"/>
      <c r="U32" s="6" t="str" cm="1">
        <f t="array" ref="U32">IFERROR(_xlfn.SWITCH(TRUE,FinalTestGrid[[#This Row],[Property]]="Color Change E",(T32-T31),FinalTestGrid[[#This Row],[Time]]=0,0,(T32-T31)/T31*100),"")</f>
        <v/>
      </c>
      <c r="V32" s="6" t="str" cm="1">
        <f t="array" ref="V32">IFERROR(_xlfn.SWITCH(TRUE,FinalTestGrid[[#This Row],[Property]]="Color Change E",T32,FinalTestGrid[[#This Row],[Time]]=0,0,(FinalTestGrid[[#This Row],[Exposure Value]]-FinalTestGrid[[#This Row],[Initial Value]])/FinalTestGrid[[#This Row],[Initial Value]]*100),"")</f>
        <v/>
      </c>
      <c r="W32" s="4"/>
      <c r="X32" s="4"/>
      <c r="Y32" s="4"/>
      <c r="Z32" s="4"/>
      <c r="AA32" s="4"/>
    </row>
    <row r="33" spans="1:27" x14ac:dyDescent="0.25">
      <c r="A33" s="4" t="s">
        <v>195</v>
      </c>
      <c r="B33" s="4" t="s">
        <v>198</v>
      </c>
      <c r="C33" s="4" t="s">
        <v>155</v>
      </c>
      <c r="D33" s="4" t="s">
        <v>144</v>
      </c>
      <c r="E33" s="4" t="s">
        <v>29</v>
      </c>
      <c r="F33" s="4" t="s">
        <v>174</v>
      </c>
      <c r="G33" s="4" t="s">
        <v>175</v>
      </c>
      <c r="H33" s="4" t="s">
        <v>77</v>
      </c>
      <c r="I33" s="4" t="s">
        <v>68</v>
      </c>
      <c r="J33" s="4">
        <v>444</v>
      </c>
      <c r="K33" s="4" t="s">
        <v>118</v>
      </c>
      <c r="L33" s="4">
        <v>2000</v>
      </c>
      <c r="M33" s="4" t="s">
        <v>73</v>
      </c>
      <c r="N33" s="4" t="s">
        <v>97</v>
      </c>
      <c r="O33" s="4" t="s">
        <v>216</v>
      </c>
      <c r="P33" s="4"/>
      <c r="Q33" s="4"/>
      <c r="R33" s="4"/>
      <c r="S33" s="4" t="str">
        <f>IF(FinalTestGrid[[#This Row],[Property]]="Color Change E","Not Required","")</f>
        <v/>
      </c>
      <c r="T33" s="4"/>
      <c r="U33" s="6" t="str" cm="1">
        <f t="array" ref="U33">IFERROR(_xlfn.SWITCH(TRUE,FinalTestGrid[[#This Row],[Property]]="Color Change E",(T33-T32),FinalTestGrid[[#This Row],[Time]]=0,0,(T33-T32)/T32*100),"")</f>
        <v/>
      </c>
      <c r="V33" s="6" t="str" cm="1">
        <f t="array" ref="V33">IFERROR(_xlfn.SWITCH(TRUE,FinalTestGrid[[#This Row],[Property]]="Color Change E",T33,FinalTestGrid[[#This Row],[Time]]=0,0,(FinalTestGrid[[#This Row],[Exposure Value]]-FinalTestGrid[[#This Row],[Initial Value]])/FinalTestGrid[[#This Row],[Initial Value]]*100),"")</f>
        <v/>
      </c>
      <c r="W33" s="4"/>
      <c r="X33" s="4"/>
      <c r="Y33" s="4"/>
      <c r="Z33" s="4"/>
      <c r="AA33" s="4"/>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Workbook">
                <anchor moveWithCells="1" sizeWithCells="1">
                  <from>
                    <xdr:col>0</xdr:col>
                    <xdr:colOff>0</xdr:colOff>
                    <xdr:row>7</xdr:row>
                    <xdr:rowOff>142875</xdr:rowOff>
                  </from>
                  <to>
                    <xdr:col>9</xdr:col>
                    <xdr:colOff>533400</xdr:colOff>
                    <xdr:row>11</xdr:row>
                    <xdr:rowOff>180975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Props1.xml><?xml version="1.0" encoding="utf-8"?>
<ds:datastoreItem xmlns:ds="http://schemas.openxmlformats.org/officeDocument/2006/customXml" ds:itemID="{95A7B4FC-4D8B-487C-A4DB-DC83FBFC805B}">
  <ds:schemaRefs/>
</ds:datastoreItem>
</file>

<file path=customXml/itemProps2.xml><?xml version="1.0" encoding="utf-8"?>
<ds:datastoreItem xmlns:ds="http://schemas.openxmlformats.org/officeDocument/2006/customXml" ds:itemID="{6E12EC89-2092-4477-90B5-42A5F34B63AA}">
  <ds:schemaRefs/>
</ds:datastoreItem>
</file>

<file path=customXml/itemProps3.xml><?xml version="1.0" encoding="utf-8"?>
<ds:datastoreItem xmlns:ds="http://schemas.openxmlformats.org/officeDocument/2006/customXml" ds:itemID="{AD0A97F8-987D-42D8-9386-933C03F6A9C9}">
  <ds:schemaRefs/>
</ds:datastoreItem>
</file>

<file path=customXml/itemProps4.xml><?xml version="1.0" encoding="utf-8"?>
<ds:datastoreItem xmlns:ds="http://schemas.openxmlformats.org/officeDocument/2006/customXml" ds:itemID="{785A466D-75DF-41EC-B118-0DBAD04AFD80}">
  <ds:schemaRefs/>
</ds:datastoreItem>
</file>

<file path=customXml/itemProps5.xml><?xml version="1.0" encoding="utf-8"?>
<ds:datastoreItem xmlns:ds="http://schemas.openxmlformats.org/officeDocument/2006/customXml" ds:itemID="{B76F7E7D-DDC8-4A34-8EE2-CAF94969F9C6}">
  <ds:schemaRefs/>
</ds:datastoreItem>
</file>

<file path=customXml/itemProps6.xml><?xml version="1.0" encoding="utf-8"?>
<ds:datastoreItem xmlns:ds="http://schemas.openxmlformats.org/officeDocument/2006/customXml" ds:itemID="{6F45D3B9-40FF-4063-9EF5-48E0C58D5517}">
  <ds:schemaRefs/>
</ds:datastoreItem>
</file>

<file path=customXml/itemProps7.xml><?xml version="1.0" encoding="utf-8"?>
<ds:datastoreItem xmlns:ds="http://schemas.openxmlformats.org/officeDocument/2006/customXml" ds:itemID="{8A8FC677-5793-4735-A586-F4551F205D05}">
  <ds:schemaRefs/>
</ds:datastoreItem>
</file>

<file path=customXml/itemProps8.xml><?xml version="1.0" encoding="utf-8"?>
<ds:datastoreItem xmlns:ds="http://schemas.openxmlformats.org/officeDocument/2006/customXml" ds:itemID="{EFC71B5A-3B2F-4ACB-868B-658C2DEBB61A}">
  <ds:schemaRefs/>
</ds:datastoreItem>
</file>

<file path=customXml/itemProps9.xml><?xml version="1.0" encoding="utf-8"?>
<ds:datastoreItem xmlns:ds="http://schemas.openxmlformats.org/officeDocument/2006/customXml" ds:itemID="{36CE54BA-01AB-4045-9EF7-799D605509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Products</vt:lpstr>
      <vt:lpstr>Testing</vt:lpstr>
      <vt:lpstr>WeatheringGrid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Iancu</dc:creator>
  <cp:lastModifiedBy>Victor Iancu</cp:lastModifiedBy>
  <cp:lastPrinted>2025-09-08T19:48:55Z</cp:lastPrinted>
  <dcterms:created xsi:type="dcterms:W3CDTF">2025-01-22T21:09:10Z</dcterms:created>
  <dcterms:modified xsi:type="dcterms:W3CDTF">2026-09-19T21:46:36Z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701064d3-d5bb-4f05-8954-f97bce8cee36</vt:lpwstr>
  </property>
</Properties>
</file>