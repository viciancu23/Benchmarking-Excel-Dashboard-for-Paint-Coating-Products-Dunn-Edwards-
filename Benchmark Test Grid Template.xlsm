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slicerCaches/slicerCache9.xml" ContentType="application/vnd.ms-excel.slicerCache+xml"/>
  <Override PartName="/xl/slicerCaches/slicerCache10.xml" ContentType="application/vnd.ms-excel.slicerCache+xml"/>
  <Override PartName="/xl/slicerCaches/slicerCache11.xml" ContentType="application/vnd.ms-excel.slicerCache+xml"/>
  <Override PartName="/xl/slicerCaches/slicerCache12.xml" ContentType="application/vnd.ms-excel.slicerCache+xml"/>
  <Override PartName="/xl/slicerCaches/slicerCache13.xml" ContentType="application/vnd.ms-excel.slicerCache+xml"/>
  <Override PartName="/xl/slicerCaches/slicerCache14.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queryTables/queryTable1.xml" ContentType="application/vnd.openxmlformats-officedocument.spreadsheetml.queryTable+xml"/>
  <Override PartName="/xl/slicers/slicer1.xml" ContentType="application/vnd.ms-excel.slicer+xml"/>
  <Override PartName="/xl/drawings/drawing3.xml" ContentType="application/vnd.openxmlformats-officedocument.drawing+xml"/>
  <Override PartName="/xl/tables/table3.xml" ContentType="application/vnd.openxmlformats-officedocument.spreadsheetml.table+xml"/>
  <Override PartName="/xl/queryTables/queryTable2.xml" ContentType="application/vnd.openxmlformats-officedocument.spreadsheetml.queryTable+xml"/>
  <Override PartName="/xl/slicers/slicer2.xml" ContentType="application/vnd.ms-excel.slicer+xml"/>
  <Override PartName="/xl/drawings/drawing4.xml" ContentType="application/vnd.openxmlformats-officedocument.drawing+xml"/>
  <Override PartName="/xl/ctrlProps/ctrlProp1.xml" ContentType="application/vnd.ms-excel.controlproperties+xml"/>
  <Override PartName="/xl/tables/table4.xml" ContentType="application/vnd.openxmlformats-officedocument.spreadsheetml.table+xml"/>
  <Override PartName="/xl/queryTables/queryTable3.xml" ContentType="application/vnd.openxmlformats-officedocument.spreadsheetml.queryTable+xml"/>
  <Override PartName="/xl/slicers/slicer3.xml" ContentType="application/vnd.ms-excel.slicer+xml"/>
  <Override PartName="/xl/tables/table5.xml" ContentType="application/vnd.openxmlformats-officedocument.spreadsheetml.table+xml"/>
  <Override PartName="/xl/queryTables/queryTable4.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430" codeName="{82680DD9-3F13-7979-5B5F-3D2375947C00}"/>
  <workbookPr codeName="ThisWorkbook" hidePivotFieldList="1" defaultThemeVersion="202300"/>
  <mc:AlternateContent xmlns:mc="http://schemas.openxmlformats.org/markup-compatibility/2006">
    <mc:Choice Requires="x15">
      <x15ac:absPath xmlns:x15ac="http://schemas.microsoft.com/office/spreadsheetml/2010/11/ac" url="https://d.docs.live.net/faed9d3f40c36664/Desktop/Final Dashboard Project/"/>
    </mc:Choice>
  </mc:AlternateContent>
  <xr:revisionPtr revIDLastSave="1017" documentId="8_{44B067BA-5C4A-44E7-AF54-81A9CDCD07BF}" xr6:coauthVersionLast="47" xr6:coauthVersionMax="47" xr10:uidLastSave="{6762DA3B-D077-48A5-A8BE-F61C526C1CD7}"/>
  <bookViews>
    <workbookView xWindow="-120" yWindow="-120" windowWidth="29040" windowHeight="15720" tabRatio="605" activeTab="1" xr2:uid="{D8311FD3-5C81-4058-9D0A-477B1AFF0E1A}"/>
  </bookViews>
  <sheets>
    <sheet name="Home" sheetId="5" r:id="rId1"/>
    <sheet name="Products" sheetId="1" r:id="rId2"/>
    <sheet name="Testing" sheetId="2" r:id="rId3"/>
    <sheet name="BenchmarkGrid" sheetId="3" r:id="rId4"/>
    <sheet name="Data Validation" sheetId="4" r:id="rId5"/>
  </sheets>
  <definedNames>
    <definedName name="ExternalData_1" localSheetId="3" hidden="1">BenchmarkGrid!$A$13:$V$40</definedName>
    <definedName name="ExternalData_1" localSheetId="4" hidden="1">'Data Validation'!$A$1:$N$40</definedName>
    <definedName name="ExternalData_1" localSheetId="1" hidden="1">Products!$A$22:$J$25</definedName>
    <definedName name="ExternalData_1" localSheetId="2" hidden="1">Testing!$A$24:$Y$65</definedName>
    <definedName name="ExternalData_3" localSheetId="1" hidden="1">Products!$A$22:$P$48</definedName>
    <definedName name="FromArray_1">_xlfn.ANCHORARRAY(Products!$F$67)</definedName>
    <definedName name="Slicer_Application">#N/A</definedName>
    <definedName name="Slicer_ASTM_Version">#N/A</definedName>
    <definedName name="Slicer_Attribute_Filter">#N/A</definedName>
    <definedName name="Slicer_Brand">#N/A</definedName>
    <definedName name="Slicer_Color">#N/A</definedName>
    <definedName name="Slicer_Performance">#N/A</definedName>
    <definedName name="Slicer_Purchase_Year">#N/A</definedName>
    <definedName name="Slicer_Sample_ID">#N/A</definedName>
    <definedName name="Slicer_Sheen">#N/A</definedName>
    <definedName name="Slicer_Test_Category">#N/A</definedName>
    <definedName name="Slicer_Test_Name">#N/A</definedName>
    <definedName name="Slicer_Test_Name1">#N/A</definedName>
    <definedName name="Slicer_Test_Parent_Category">#N/A</definedName>
    <definedName name="Slicer_Unique_Product_Name1">#N/A</definedName>
  </definedNames>
  <calcPr calcId="191029"/>
  <extLs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6"/>
        <x14:slicerCache r:id="rId7"/>
        <x14:slicerCache r:id="rId8"/>
        <x14:slicerCache r:id="rId9"/>
        <x14:slicerCache r:id="rId10"/>
        <x14:slicerCache r:id="rId11"/>
        <x14:slicerCache r:id="rId12"/>
        <x14:slicerCache r:id="rId13"/>
        <x14:slicerCache r:id="rId14"/>
        <x14:slicerCache r:id="rId15"/>
        <x14:slicerCache r:id="rId16"/>
        <x14:slicerCache r:id="rId17"/>
        <x14:slicerCache r:id="rId18"/>
        <x14:slicerCache r:id="rId19"/>
      </x15:slicerCaches>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dTestRatings_8a385c39-0711-4458-bb2e-d02305f6f88b" name="dTestRatings" connection="Query - dTestRatings"/>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M15" i="3" l="1"/>
  <c r="M16" i="3"/>
  <c r="M17" i="3"/>
  <c r="M18" i="3"/>
  <c r="M19" i="3"/>
  <c r="M20" i="3"/>
  <c r="M21" i="3"/>
  <c r="M22" i="3"/>
  <c r="M23" i="3"/>
  <c r="M24" i="3"/>
  <c r="M25" i="3"/>
  <c r="M26" i="3"/>
  <c r="M27" i="3"/>
  <c r="M28" i="3"/>
  <c r="M29" i="3"/>
  <c r="M30" i="3"/>
  <c r="M31" i="3"/>
  <c r="M32" i="3"/>
  <c r="M33" i="3"/>
  <c r="M34" i="3"/>
  <c r="M35" i="3"/>
  <c r="M36" i="3"/>
  <c r="M37" i="3"/>
  <c r="M38" i="3"/>
  <c r="M39" i="3"/>
  <c r="M40" i="3"/>
  <c r="M14" i="3"/>
  <c r="W14" i="3" a="1"/>
  <c r="W15" i="3" a="1"/>
  <c r="W16" i="3" a="1"/>
  <c r="W17" i="3" a="1"/>
  <c r="W18" i="3" a="1"/>
  <c r="W19" i="3" a="1"/>
  <c r="W20" i="3" a="1"/>
  <c r="W21" i="3" a="1"/>
  <c r="W22" i="3" a="1"/>
  <c r="W23" i="3" a="1"/>
  <c r="W24" i="3" a="1"/>
  <c r="W25" i="3" a="1"/>
  <c r="W26" i="3" a="1"/>
  <c r="W27" i="3" a="1"/>
  <c r="W28" i="3" a="1"/>
  <c r="W29" i="3" a="1"/>
  <c r="W30" i="3" a="1"/>
  <c r="W31" i="3" a="1"/>
  <c r="W32" i="3" a="1"/>
  <c r="W33" i="3" a="1"/>
  <c r="W34" i="3" a="1"/>
  <c r="W35" i="3" a="1"/>
  <c r="W36" i="3" a="1"/>
  <c r="W37" i="3" a="1"/>
  <c r="W38" i="3" a="1"/>
  <c r="W39" i="3" a="1"/>
  <c r="W40" i="3" a="1"/>
  <c r="X14" i="3"/>
  <c r="X15" i="3"/>
  <c r="X16" i="3"/>
  <c r="X17" i="3"/>
  <c r="X18" i="3"/>
  <c r="X19" i="3"/>
  <c r="X20" i="3"/>
  <c r="X21" i="3"/>
  <c r="X22" i="3"/>
  <c r="X23" i="3"/>
  <c r="X24" i="3"/>
  <c r="X25" i="3"/>
  <c r="X26" i="3"/>
  <c r="X27" i="3"/>
  <c r="X28" i="3"/>
  <c r="X29" i="3"/>
  <c r="X30" i="3"/>
  <c r="X31" i="3"/>
  <c r="X32" i="3"/>
  <c r="X33" i="3"/>
  <c r="X34" i="3"/>
  <c r="X35" i="3"/>
  <c r="X36" i="3"/>
  <c r="X37" i="3"/>
  <c r="X38" i="3"/>
  <c r="X39" i="3"/>
  <c r="X40" i="3"/>
  <c r="Y14" i="3" a="1"/>
  <c r="Y15" i="3" a="1"/>
  <c r="Y16" i="3" a="1"/>
  <c r="Y17" i="3" a="1"/>
  <c r="Y18" i="3" a="1"/>
  <c r="Y19" i="3" a="1"/>
  <c r="Y20" i="3" a="1"/>
  <c r="Y21" i="3" a="1"/>
  <c r="Y22" i="3" a="1"/>
  <c r="Y23" i="3" a="1"/>
  <c r="Y24" i="3" a="1"/>
  <c r="Y25" i="3" a="1"/>
  <c r="Y26" i="3" a="1"/>
  <c r="Y27" i="3" a="1"/>
  <c r="Y28" i="3" a="1"/>
  <c r="Y29" i="3" a="1"/>
  <c r="Y30" i="3" a="1"/>
  <c r="Y31" i="3" a="1"/>
  <c r="Y32" i="3" a="1"/>
  <c r="Y33" i="3" a="1"/>
  <c r="Y34" i="3" a="1"/>
  <c r="Y35" i="3" a="1"/>
  <c r="Y36" i="3" a="1"/>
  <c r="Y37" i="3" a="1"/>
  <c r="Y38" i="3" a="1"/>
  <c r="Y39" i="3" a="1"/>
  <c r="Y40" i="3" a="1"/>
  <c r="E46" i="4"/>
  <c r="Z59" i="2"/>
  <c r="Z65" i="2"/>
  <c r="Z62" i="2"/>
  <c r="Z60" i="2"/>
  <c r="Z61" i="2"/>
  <c r="Z63" i="2"/>
  <c r="Z25" i="2"/>
  <c r="Z32" i="2"/>
  <c r="Z39" i="2"/>
  <c r="Z29" i="2"/>
  <c r="Z36" i="2"/>
  <c r="Z43" i="2"/>
  <c r="Z26" i="2"/>
  <c r="Z33" i="2"/>
  <c r="Z40" i="2"/>
  <c r="Z41" i="2"/>
  <c r="Z42" i="2"/>
  <c r="Z44" i="2"/>
  <c r="Z45" i="2"/>
  <c r="Z34" i="2"/>
  <c r="Z35" i="2"/>
  <c r="Z37" i="2"/>
  <c r="Z38" i="2"/>
  <c r="Z27" i="2"/>
  <c r="Z28" i="2"/>
  <c r="Z30" i="2"/>
  <c r="Z31" i="2"/>
  <c r="Z64" i="2"/>
  <c r="Z46" i="2"/>
  <c r="Z47" i="2"/>
  <c r="Z48" i="2"/>
  <c r="Z49" i="2"/>
  <c r="Z50" i="2"/>
  <c r="Z51" i="2"/>
  <c r="Z52" i="2"/>
  <c r="Z53" i="2"/>
  <c r="Z54" i="2"/>
  <c r="Z55" i="2"/>
  <c r="Z58" i="2"/>
  <c r="Z57" i="2"/>
  <c r="Z56" i="2"/>
  <c r="Q23" i="1"/>
  <c r="Q24" i="1"/>
  <c r="Q25" i="1"/>
  <c r="Q26" i="1"/>
  <c r="Q27" i="1"/>
  <c r="Q28" i="1"/>
  <c r="Q29" i="1"/>
  <c r="Q30" i="1"/>
  <c r="Q31" i="1"/>
  <c r="Q32" i="1"/>
  <c r="Q33" i="1"/>
  <c r="Q34" i="1"/>
  <c r="Q35" i="1"/>
  <c r="Q36" i="1"/>
  <c r="Q37" i="1"/>
  <c r="Q38" i="1"/>
  <c r="Q39" i="1"/>
  <c r="Q40" i="1"/>
  <c r="Q41" i="1"/>
  <c r="Q42" i="1"/>
  <c r="Q43" i="1"/>
  <c r="Q44" i="1"/>
  <c r="Q45" i="1"/>
  <c r="Q46" i="1"/>
  <c r="Q47" i="1"/>
  <c r="Q48" i="1"/>
  <c r="O2" i="4" l="1"/>
  <c r="O3" i="4"/>
  <c r="O4" i="4"/>
  <c r="O5" i="4"/>
  <c r="O6" i="4"/>
  <c r="O7" i="4"/>
  <c r="O8" i="4"/>
  <c r="O9" i="4"/>
  <c r="O10" i="4"/>
  <c r="O11" i="4"/>
  <c r="O12" i="4"/>
  <c r="O13" i="4"/>
  <c r="O14" i="4"/>
  <c r="O15" i="4"/>
  <c r="O16" i="4"/>
  <c r="O17" i="4"/>
  <c r="O18" i="4"/>
  <c r="O19" i="4"/>
  <c r="O20" i="4"/>
  <c r="O21" i="4"/>
  <c r="O22" i="4"/>
  <c r="O23" i="4"/>
  <c r="O24" i="4"/>
  <c r="O25" i="4"/>
  <c r="O26" i="4"/>
  <c r="O27" i="4"/>
  <c r="O28" i="4"/>
  <c r="O29" i="4"/>
  <c r="O30" i="4"/>
  <c r="O31" i="4"/>
  <c r="O32" i="4"/>
  <c r="O33" i="4"/>
  <c r="O34" i="4"/>
  <c r="O35" i="4"/>
  <c r="O36" i="4"/>
  <c r="O37" i="4"/>
  <c r="O38" i="4"/>
  <c r="O39" i="4"/>
  <c r="O40" i="4"/>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63DA7401-8426-46C2-886F-781E3A675CDE}" keepAlive="1" name="ModelConnection_ExternalData_1" description="Data Model" type="5" refreshedVersion="8" minRefreshableVersion="5" saveData="1">
    <dbPr connection="Data Model Connection" command="dTestRatings" commandType="3"/>
    <extLst>
      <ext xmlns:x15="http://schemas.microsoft.com/office/spreadsheetml/2010/11/main" uri="{DE250136-89BD-433C-8126-D09CA5730AF9}">
        <x15:connection id="" model="1"/>
      </ext>
    </extLst>
  </connection>
  <connection id="2" xr16:uid="{A83D837A-9ED0-4D63-96F2-33E36EC10D07}" keepAlive="1" name="Query - dTestIDdirectory" description="Connection to the 'dTestIDdirectory' query in the workbook." type="5" refreshedVersion="8" background="1" saveData="1">
    <dbPr connection="Provider=Microsoft.Mashup.OleDb.1;Data Source=$Workbook$;Location=dTestIDdirectory;Extended Properties=&quot;&quot;" command="SELECT * FROM [dTestIDdirectory]"/>
  </connection>
  <connection id="3" xr16:uid="{0E911EF4-2A8F-4031-B448-9882C355E651}" name="Query - dTestRatings" description="Connection to the 'dTestRatings' query in the workbook." type="100" refreshedVersion="8" minRefreshableVersion="5">
    <extLst>
      <ext xmlns:x15="http://schemas.microsoft.com/office/spreadsheetml/2010/11/main" uri="{DE250136-89BD-433C-8126-D09CA5730AF9}">
        <x15:connection id="57bc7ae1-3e40-4b0e-adff-3028957d9715"/>
      </ext>
    </extLst>
  </connection>
  <connection id="4" xr16:uid="{5C6F41EF-4EEB-4DBC-8537-EBCB1C316F22}" keepAlive="1" name="Query - FinalProductBenchmarkGrid" description="Connection to the 'FinalProductBenchmarkGrid' query in the workbook." type="5" refreshedVersion="8" background="1" saveData="1">
    <dbPr connection="Provider=Microsoft.Mashup.OleDb.1;Data Source=$Workbook$;Location=FinalProductBenchmarkGrid;Extended Properties=&quot;&quot;" command="SELECT * FROM [FinalProductBenchmarkGrid]"/>
  </connection>
  <connection id="5" xr16:uid="{EA288913-9E27-4807-96F8-08DF31ECC3CE}" keepAlive="1" name="Query - FinalTestGrid" description="Connection to the 'FinalTestGrid' query in the workbook." type="5" refreshedVersion="8" background="1" saveData="1">
    <dbPr connection="Provider=Microsoft.Mashup.OleDb.1;Data Source=$Workbook$;Location=FinalTestGrid;Extended Properties=&quot;&quot;" command="SELECT * FROM [FinalTestGrid]"/>
  </connection>
  <connection id="6" xr16:uid="{3D49629C-2406-48DB-B767-1E972AAFCA45}" keepAlive="1" name="Query - PDL Number" description="Connection to the 'PDL Number' query in the workbook." type="5" refreshedVersion="0" background="1" saveData="1">
    <dbPr connection="Provider=Microsoft.Mashup.OleDb.1;Data Source=$Workbook$;Location=&quot;PDL Number&quot;;Extended Properties=&quot;&quot;" command="SELECT * FROM [PDL Number]"/>
  </connection>
  <connection id="7" xr16:uid="{2F149A1B-6D9C-41BC-BEBA-2D30AC4C3FA8}" keepAlive="1" name="Query - ProductBenchmarkGrid" description="Connection to the 'ProductBenchmarkGrid' query in the workbook." type="5" refreshedVersion="0" background="1">
    <dbPr connection="Provider=Microsoft.Mashup.OleDb.1;Data Source=$Workbook$;Location=ProductBenchmarkGrid;Extended Properties=&quot;&quot;" command="SELECT * FROM [ProductBenchmarkGrid]"/>
  </connection>
  <connection id="8" xr16:uid="{CA2B441A-8261-43F5-B13E-578E2495E8B3}" keepAlive="1" name="Query - ProductDatabase(1)" description="Connection to the 'ProductDatabase' query in the workbook." type="5" refreshedVersion="8" background="1" saveData="1">
    <dbPr connection="Provider=Microsoft.Mashup.OleDb.1;Data Source=$Workbook$;Location=ProductDatabase;Extended Properties=&quot;&quot;" command="SELECT * FROM [ProductDatabase]"/>
  </connection>
  <connection id="9" xr16:uid="{B7785C76-CB8F-4EF8-9F26-093581926135}" keepAlive="1" name="Query - Test Ratings Inputs" description="Connection to the 'Test Ratings Inputs' query in the workbook." type="5" refreshedVersion="8" background="1" saveData="1">
    <dbPr connection="Provider=Microsoft.Mashup.OleDb.1;Data Source=$Workbook$;Location=&quot;Test Ratings Inputs&quot;;Extended Properties=&quot;&quot;" command="SELECT * FROM [Test Ratings Inputs]"/>
  </connection>
  <connection id="10" xr16:uid="{789A906D-502F-486D-AD5B-A4BDBC1C5553}" keepAlive="1" name="Query - TestDirectoryGrid" description="Connection to the 'TestDirectoryGrid' query in the workbook." type="5" refreshedVersion="0" background="1">
    <dbPr connection="Provider=Microsoft.Mashup.OleDb.1;Data Source=$Workbook$;Location=TestDirectoryGrid;Extended Properties=&quot;&quot;" command="SELECT * FROM [TestDirectoryGrid]"/>
  </connection>
  <connection id="11" xr16:uid="{2AA04677-653B-4FA6-A65A-6ECB5FAED490}"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<sst xmlns="http://schemas.openxmlformats.org/spreadsheetml/2006/main" count="1347" uniqueCount="332">
  <si>
    <t>PPG</t>
  </si>
  <si>
    <t>DE</t>
  </si>
  <si>
    <t>BEHR</t>
  </si>
  <si>
    <t>Brand</t>
  </si>
  <si>
    <t>Product</t>
  </si>
  <si>
    <t>Performance</t>
  </si>
  <si>
    <t>High</t>
  </si>
  <si>
    <t>Sheen</t>
  </si>
  <si>
    <t>Color</t>
  </si>
  <si>
    <t>Flat</t>
  </si>
  <si>
    <t>White</t>
  </si>
  <si>
    <t>Application</t>
  </si>
  <si>
    <t>Interior</t>
  </si>
  <si>
    <t>Test Name</t>
  </si>
  <si>
    <t>Test ID</t>
  </si>
  <si>
    <t>T1</t>
  </si>
  <si>
    <t>Dry Time</t>
  </si>
  <si>
    <t>T2</t>
  </si>
  <si>
    <t>Durability</t>
  </si>
  <si>
    <t>Adhesion</t>
  </si>
  <si>
    <t>T3</t>
  </si>
  <si>
    <t>Resistance</t>
  </si>
  <si>
    <t>Purchase Year</t>
  </si>
  <si>
    <t>Benchmark</t>
  </si>
  <si>
    <t>Swiss Coffee</t>
  </si>
  <si>
    <t>PDL ID</t>
  </si>
  <si>
    <t>Sample ID</t>
  </si>
  <si>
    <t>PDL Category</t>
  </si>
  <si>
    <t>Base</t>
  </si>
  <si>
    <t>Lab Location</t>
  </si>
  <si>
    <t>Lab Humidity</t>
  </si>
  <si>
    <t>P2</t>
  </si>
  <si>
    <t>P3</t>
  </si>
  <si>
    <t>Bond ID</t>
  </si>
  <si>
    <t>Weathered Brown</t>
  </si>
  <si>
    <t>Everest</t>
  </si>
  <si>
    <t>Untinted</t>
  </si>
  <si>
    <t>Manor Hall</t>
  </si>
  <si>
    <t>i300</t>
  </si>
  <si>
    <t>Deep</t>
  </si>
  <si>
    <t>Light</t>
  </si>
  <si>
    <t>DE-Everest-Flat-Weathered Brown-2025</t>
  </si>
  <si>
    <t>PPG-Manor Hall-Flat-Swiss Coffee-2025</t>
  </si>
  <si>
    <t>Unique Product Name</t>
  </si>
  <si>
    <t>BEHR-i300-Flat-Swiss Coffee-2025</t>
  </si>
  <si>
    <t>BEHR-i300-Flat-Weathered Brown-2025</t>
  </si>
  <si>
    <t>DE-Everest-Flat-Swiss Coffee-2025</t>
  </si>
  <si>
    <t>PPG-Manor Hall-Flat-Weathered Brown-2025</t>
  </si>
  <si>
    <t>PPG-Manor Hall-Flat-White-2025</t>
  </si>
  <si>
    <t>Product ID</t>
  </si>
  <si>
    <t>P5</t>
  </si>
  <si>
    <t>P6</t>
  </si>
  <si>
    <t>P7</t>
  </si>
  <si>
    <t>P8</t>
  </si>
  <si>
    <t>P9</t>
  </si>
  <si>
    <t>P10</t>
  </si>
  <si>
    <t>Base Sort</t>
  </si>
  <si>
    <t>Visible</t>
  </si>
  <si>
    <t>Test Parent Category</t>
  </si>
  <si>
    <t>Sag Resistance</t>
  </si>
  <si>
    <t>Gradient Hide</t>
  </si>
  <si>
    <t>1.5 mil</t>
  </si>
  <si>
    <t>T4</t>
  </si>
  <si>
    <t>3.0 mil</t>
  </si>
  <si>
    <t>Gradient Hide - 3.0 mil</t>
  </si>
  <si>
    <t>T5</t>
  </si>
  <si>
    <t>T6</t>
  </si>
  <si>
    <t>T7</t>
  </si>
  <si>
    <t>Lab Temperature</t>
  </si>
  <si>
    <t>Operator iD</t>
  </si>
  <si>
    <t>Equipment ID</t>
  </si>
  <si>
    <t>Oven ID</t>
  </si>
  <si>
    <t>Data Type</t>
  </si>
  <si>
    <t>Num Raw Test Data</t>
  </si>
  <si>
    <t>Text Raw Test Data</t>
  </si>
  <si>
    <t>Numeric</t>
  </si>
  <si>
    <t>Wood</t>
  </si>
  <si>
    <t>Adhesion - Wood - 1DD</t>
  </si>
  <si>
    <t>Text-Numeric</t>
  </si>
  <si>
    <t>Adhesion - Wood - 1DW</t>
  </si>
  <si>
    <t>P11</t>
  </si>
  <si>
    <t>Merged</t>
  </si>
  <si>
    <t>ASTM-Version</t>
  </si>
  <si>
    <t>Date of Test</t>
  </si>
  <si>
    <t>T8</t>
  </si>
  <si>
    <t>Chemical Resistance</t>
  </si>
  <si>
    <t>T9</t>
  </si>
  <si>
    <t>T11</t>
  </si>
  <si>
    <t>T12</t>
  </si>
  <si>
    <t>T13</t>
  </si>
  <si>
    <t>T14</t>
  </si>
  <si>
    <t>Sort Position</t>
  </si>
  <si>
    <t>BM</t>
  </si>
  <si>
    <t>BMP-1</t>
  </si>
  <si>
    <t>BM-BMP-1-Flat-Swiss Coffee-2025</t>
  </si>
  <si>
    <t>P12</t>
  </si>
  <si>
    <t>BMP-2</t>
  </si>
  <si>
    <t>BM-BMP-2-Flat-Weathered Brown-2025</t>
  </si>
  <si>
    <t>P13</t>
  </si>
  <si>
    <t>Valspar</t>
  </si>
  <si>
    <t>ValP-1</t>
  </si>
  <si>
    <t>Valspar-ValP-1-Flat-Swiss Coffee-2025</t>
  </si>
  <si>
    <t>P14</t>
  </si>
  <si>
    <t>ValP-2</t>
  </si>
  <si>
    <t>Valspar-ValP-2-Flat-Weathered Brown-2025</t>
  </si>
  <si>
    <t>P15</t>
  </si>
  <si>
    <t>Weathering - Dark Blue</t>
  </si>
  <si>
    <t>PPG-Manor Hall-Flat-Weathering - Dark Blue-2025</t>
  </si>
  <si>
    <t>P16</t>
  </si>
  <si>
    <t>BEHR-i300-Flat-Weathering - Dark Blue-2025</t>
  </si>
  <si>
    <t>P17</t>
  </si>
  <si>
    <t>DE-Everest-Flat-Weathering - Dark Blue-2025</t>
  </si>
  <si>
    <t>P18</t>
  </si>
  <si>
    <t>BM-BMP-1-Flat-Weathering - Dark Blue-2025</t>
  </si>
  <si>
    <t>BM-BMP-2-Flat-Weathering - Dark Blue-2025</t>
  </si>
  <si>
    <t>Valspar-ValP-1-Flat-Weathering - Dark Blue-2025</t>
  </si>
  <si>
    <t>Valspar-ValP-2-Flat-Weathering - Dark Blue-2025</t>
  </si>
  <si>
    <t>P4</t>
  </si>
  <si>
    <t>P19</t>
  </si>
  <si>
    <t>P20</t>
  </si>
  <si>
    <t>P21</t>
  </si>
  <si>
    <t>P22</t>
  </si>
  <si>
    <t>Hierarchy Level</t>
  </si>
  <si>
    <t>Number of Levels</t>
  </si>
  <si>
    <t>T10</t>
  </si>
  <si>
    <t>Hierarchy ID</t>
  </si>
  <si>
    <t>Test Category</t>
  </si>
  <si>
    <t>Aggregation Type</t>
  </si>
  <si>
    <t>Level Attribute</t>
  </si>
  <si>
    <t>Chart Name</t>
  </si>
  <si>
    <t>Last Revision Date</t>
  </si>
  <si>
    <t xml:space="preserve">Is </t>
  </si>
  <si>
    <t>Data</t>
  </si>
  <si>
    <t>A1</t>
  </si>
  <si>
    <t>A2</t>
  </si>
  <si>
    <t>Average</t>
  </si>
  <si>
    <t>Gradient Hide - Average</t>
  </si>
  <si>
    <t>A3</t>
  </si>
  <si>
    <t>A4</t>
  </si>
  <si>
    <t>Plastic</t>
  </si>
  <si>
    <t>Adhesion - Plastic</t>
  </si>
  <si>
    <t>Steel</t>
  </si>
  <si>
    <t>Adhesion - Steel</t>
  </si>
  <si>
    <t>Adhesion - Wood</t>
  </si>
  <si>
    <t>7 Day</t>
  </si>
  <si>
    <t>Adhesion - Plastic - 7D</t>
  </si>
  <si>
    <t>Adhesion - Steel - 7D</t>
  </si>
  <si>
    <t>Adhesion - Wood - 7D</t>
  </si>
  <si>
    <t>1 Day</t>
  </si>
  <si>
    <t>Adhesion - Plastic - 1D</t>
  </si>
  <si>
    <t>Adhesion - Steel - 1D</t>
  </si>
  <si>
    <t>T15</t>
  </si>
  <si>
    <t>Adhesion - Wood - 1D</t>
  </si>
  <si>
    <t>T16</t>
  </si>
  <si>
    <t>Dry</t>
  </si>
  <si>
    <t>T17</t>
  </si>
  <si>
    <t>Wet</t>
  </si>
  <si>
    <t>T18</t>
  </si>
  <si>
    <t>Adhesion - Wood - 7DD</t>
  </si>
  <si>
    <t>T19</t>
  </si>
  <si>
    <t>Adhesion - Wood - 7DW</t>
  </si>
  <si>
    <t>T20</t>
  </si>
  <si>
    <t>Adhesion - Steel - 1DD</t>
  </si>
  <si>
    <t>T21</t>
  </si>
  <si>
    <t>Adhesion - Steel - 1DW</t>
  </si>
  <si>
    <t>T22</t>
  </si>
  <si>
    <t>Adhesion - Steel - 7DD</t>
  </si>
  <si>
    <t>T23</t>
  </si>
  <si>
    <t>Adhesion - Steel - 7DW</t>
  </si>
  <si>
    <t>T24</t>
  </si>
  <si>
    <t>Adhesion - Plastic - 1DD</t>
  </si>
  <si>
    <t>T25</t>
  </si>
  <si>
    <t>Adhesion - Plastic - 1DW</t>
  </si>
  <si>
    <t>T26</t>
  </si>
  <si>
    <t>Adhesion - Plastic - 7DD</t>
  </si>
  <si>
    <t>T27</t>
  </si>
  <si>
    <t>Adhesion - Plastic - 7DW</t>
  </si>
  <si>
    <t>T28</t>
  </si>
  <si>
    <t>Print Resistance</t>
  </si>
  <si>
    <t>A5</t>
  </si>
  <si>
    <t>T29</t>
  </si>
  <si>
    <t>Burnish Resistance</t>
  </si>
  <si>
    <t>A6</t>
  </si>
  <si>
    <t>T30</t>
  </si>
  <si>
    <t>Chemical #1</t>
  </si>
  <si>
    <t>Chemical Resistance - 121 - C1</t>
  </si>
  <si>
    <t>A7</t>
  </si>
  <si>
    <t>T31</t>
  </si>
  <si>
    <t>Chemical #2</t>
  </si>
  <si>
    <t>Chemical Resistance - 121 - C2</t>
  </si>
  <si>
    <t>T32</t>
  </si>
  <si>
    <t>Chemical #3</t>
  </si>
  <si>
    <t>Chemical Resistance - 121 - C3</t>
  </si>
  <si>
    <t>T33</t>
  </si>
  <si>
    <t>Chemical #4</t>
  </si>
  <si>
    <t>Chemical Resistance - 121 - C4</t>
  </si>
  <si>
    <t>T34</t>
  </si>
  <si>
    <t>Chemical #5</t>
  </si>
  <si>
    <t>Chemical Resistance - 121 - C5</t>
  </si>
  <si>
    <t>T35</t>
  </si>
  <si>
    <t>Chemical #6</t>
  </si>
  <si>
    <t>Chemical Resistance - 121 - C6</t>
  </si>
  <si>
    <t>T36</t>
  </si>
  <si>
    <t>Chemical #7</t>
  </si>
  <si>
    <t>Chemical Resistance - 121 - C7</t>
  </si>
  <si>
    <t>T37</t>
  </si>
  <si>
    <t>Chemical #8</t>
  </si>
  <si>
    <t>Chemical Resistance - 121 - C8</t>
  </si>
  <si>
    <t>T38</t>
  </si>
  <si>
    <t>Chemical #9</t>
  </si>
  <si>
    <t>Chemical Resistance - 121 - C9</t>
  </si>
  <si>
    <t>T39</t>
  </si>
  <si>
    <t>Hydrophilic</t>
  </si>
  <si>
    <t>Chemical Resistance - Hydrophobic Average</t>
  </si>
  <si>
    <t>Chemical Resistance - Hydro</t>
  </si>
  <si>
    <t>T40</t>
  </si>
  <si>
    <t>Hydrophobic</t>
  </si>
  <si>
    <t>Chemical Resistance - Hydrophilic Average</t>
  </si>
  <si>
    <t>Chemical Resistance - Hydri</t>
  </si>
  <si>
    <t>T41</t>
  </si>
  <si>
    <t>Overall Average</t>
  </si>
  <si>
    <t>Chemical Resistance - Average</t>
  </si>
  <si>
    <t>Duplicate?</t>
  </si>
  <si>
    <t>P23</t>
  </si>
  <si>
    <t>Evershield</t>
  </si>
  <si>
    <t>Exterior</t>
  </si>
  <si>
    <t>Gloss</t>
  </si>
  <si>
    <t>DE-Evershield-Gloss-Weathering - Dark Blue-2024</t>
  </si>
  <si>
    <t>DE-Evershield-Gloss-White-2024</t>
  </si>
  <si>
    <t>DE-Evershield-Gloss-Swiss Coffee-2024</t>
  </si>
  <si>
    <t>DE-Evershield-Gloss-Weathered Brown-2024</t>
  </si>
  <si>
    <t>Gradient Hide - 1.5 mil</t>
  </si>
  <si>
    <t>WPG</t>
  </si>
  <si>
    <t>Weight Solids</t>
  </si>
  <si>
    <t xml:space="preserve">Type </t>
  </si>
  <si>
    <t>No</t>
  </si>
  <si>
    <t>High-Interior-Flat-White-2025</t>
  </si>
  <si>
    <t>High-Interior-Flat-Swiss Coffee-2025</t>
  </si>
  <si>
    <t>High-Interior-Flat-Weathered Brown-2025</t>
  </si>
  <si>
    <t>High-Interior-Flat-Weathering - Dark Blue-2025</t>
  </si>
  <si>
    <t>High-Exterior-Gloss-Weathering - Dark Blue-2024</t>
  </si>
  <si>
    <t>High-Exterior-Gloss-White-2024</t>
  </si>
  <si>
    <t>High-Exterior-Gloss-Swiss Coffee-2024</t>
  </si>
  <si>
    <t>High-Exterior-Gloss-Weathered Brown-2024</t>
  </si>
  <si>
    <t>High-Exterior-Flat-Weathering - Dark Blue-2025</t>
  </si>
  <si>
    <t>Blood Red</t>
  </si>
  <si>
    <t>DE-Everest-Flat-Blood Red-2023</t>
  </si>
  <si>
    <t>P24</t>
  </si>
  <si>
    <t>High-Interior-Flat-Blood Red-2023</t>
  </si>
  <si>
    <t>BEHR-i300-Flat-Blood Red-2025</t>
  </si>
  <si>
    <t>P25</t>
  </si>
  <si>
    <t>High-Interior-Flat-Blood Red-2025</t>
  </si>
  <si>
    <t>Attribute Filter</t>
  </si>
  <si>
    <t>Chart Category Filter</t>
  </si>
  <si>
    <t>Thickness</t>
  </si>
  <si>
    <t>Overall Adhesion - A4</t>
  </si>
  <si>
    <t>Chemical 1</t>
  </si>
  <si>
    <t>Chemical 2</t>
  </si>
  <si>
    <t>Chemical 3</t>
  </si>
  <si>
    <t>Chemical 4</t>
  </si>
  <si>
    <t>Chemical 5</t>
  </si>
  <si>
    <t>Chemical 6</t>
  </si>
  <si>
    <t>Chemical 7</t>
  </si>
  <si>
    <t>Chemical 8</t>
  </si>
  <si>
    <t>Chemical 9</t>
  </si>
  <si>
    <t>Chemical Average</t>
  </si>
  <si>
    <t>BEHR-i300-Flat-White-2025</t>
  </si>
  <si>
    <t>Duramax</t>
  </si>
  <si>
    <t>Valspar-Duramax-Gloss-Weathering - Dark Blue-2025</t>
  </si>
  <si>
    <t>P1</t>
  </si>
  <si>
    <t>P26</t>
  </si>
  <si>
    <t>High-Exterior-Gloss-Weathering - Dark Blue-2025</t>
  </si>
  <si>
    <t>Minimum Interval Value</t>
  </si>
  <si>
    <t>Maximum Interval Value</t>
  </si>
  <si>
    <t>Non Interval Value</t>
  </si>
  <si>
    <t>ASTM / Spec Rating</t>
  </si>
  <si>
    <t>TextNumeric Benchmark Rating</t>
  </si>
  <si>
    <t>Benchmark Rating</t>
  </si>
  <si>
    <t>Column11</t>
  </si>
  <si>
    <t>Column12</t>
  </si>
  <si>
    <t>Column13</t>
  </si>
  <si>
    <t>Column14</t>
  </si>
  <si>
    <t>Excellent</t>
  </si>
  <si>
    <t>Good</t>
  </si>
  <si>
    <t>Poor</t>
  </si>
  <si>
    <t>Gradient Hide - ASTM D554</t>
  </si>
  <si>
    <t>Adhesion - ASTM D3343</t>
  </si>
  <si>
    <t>5B</t>
  </si>
  <si>
    <t>4B</t>
  </si>
  <si>
    <t>3B</t>
  </si>
  <si>
    <t>2B</t>
  </si>
  <si>
    <t>1B</t>
  </si>
  <si>
    <t>Chemical Resistance - ASTM D4412</t>
  </si>
  <si>
    <t>Column15</t>
  </si>
  <si>
    <t>Product Benchmark Testing Template</t>
  </si>
  <si>
    <t>H</t>
  </si>
  <si>
    <t>Column2</t>
  </si>
  <si>
    <t>Column3</t>
  </si>
  <si>
    <t>Record Validation</t>
  </si>
  <si>
    <t>PDL-26-00663</t>
  </si>
  <si>
    <t>26-00663-1</t>
  </si>
  <si>
    <t>26-00663-1-T16</t>
  </si>
  <si>
    <t>26-00663-1-T17</t>
  </si>
  <si>
    <t>26-00663-1-T18</t>
  </si>
  <si>
    <t>26-00663-1-T19</t>
  </si>
  <si>
    <t>26-00663-1-T30</t>
  </si>
  <si>
    <t>26-00663-1-T31</t>
  </si>
  <si>
    <t>26-00663-1-T32</t>
  </si>
  <si>
    <t>26-00663-1-T33</t>
  </si>
  <si>
    <t>26-00663-1-T28</t>
  </si>
  <si>
    <t>26-00663-2</t>
  </si>
  <si>
    <t>26-00663-2-T16</t>
  </si>
  <si>
    <t>26-00663-2-T17</t>
  </si>
  <si>
    <t>26-00663-2-T18</t>
  </si>
  <si>
    <t>26-00663-2-T19</t>
  </si>
  <si>
    <t>26-00663-2-T30</t>
  </si>
  <si>
    <t>26-00663-2-T31</t>
  </si>
  <si>
    <t>26-00663-2-T32</t>
  </si>
  <si>
    <t>26-00663-2-T33</t>
  </si>
  <si>
    <t>26-00663-2-T28</t>
  </si>
  <si>
    <t>26-00663-3</t>
  </si>
  <si>
    <t>26-00663-3-T16</t>
  </si>
  <si>
    <t>26-00663-3-T17</t>
  </si>
  <si>
    <t>26-00663-3-T18</t>
  </si>
  <si>
    <t>26-00663-3-T19</t>
  </si>
  <si>
    <t>26-00663-3-T30</t>
  </si>
  <si>
    <t>26-00663-3-T31</t>
  </si>
  <si>
    <t>26-00663-3-T32</t>
  </si>
  <si>
    <t>26-00663-3-T33</t>
  </si>
  <si>
    <t>26-00663-3-T28</t>
  </si>
  <si>
    <t>VI</t>
  </si>
  <si>
    <t>B1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</si>
</sst>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2" x14ac:knownFonts="1">
    <font>
      <sz val="11"/>
      <color theme="1"/>
      <name val="Aptos Narrow"/>
      <family val="2"/>
      <scheme val="minor"/>
    </font>
    <font>
      <b/>
      <sz val="11"/>
      <color theme="1"/>
      <name val="Aptos Narrow"/>
      <family val="2"/>
      <scheme val="minor"/>
    </font>
    <font>
      <sz val="8"/>
      <name val="Aptos Narrow"/>
      <family val="2"/>
      <scheme val="minor"/>
    </font>
    <font>
      <sz val="48"/>
      <color theme="0"/>
      <name val="Aptos Narrow"/>
      <family val="2"/>
      <scheme val="minor"/>
    </font>
    <font>
      <sz val="48"/>
      <color theme="1"/>
      <name val="Aptos Narrow"/>
      <family val="2"/>
      <scheme val="minor"/>
    </font>
    <font>
      <sz val="28"/>
      <color rgb="FF000000"/>
      <name val="Aptos Narrow"/>
      <family val="2"/>
    </font>
    <font>
      <sz val="11"/>
      <color rgb="FFFFFFFF"/>
      <name val="Aptos Narrow"/>
      <family val="2"/>
      <scheme val="minor"/>
    </font>
    <font>
      <sz val="11"/>
      <color rgb="FF1F1F1F"/>
      <name val="Aptos Narrow"/>
      <family val="2"/>
      <scheme val="minor"/>
    </font>
    <font>
      <b/>
      <sz val="11"/>
      <color rgb="FFFFFFFF"/>
      <name val="Aptos Narrow"/>
      <family val="2"/>
      <scheme val="minor"/>
    </font>
    <font>
      <b/>
      <sz val="11"/>
      <color rgb="FF1F1F1F"/>
      <name val="Aptos Narrow"/>
      <family val="2"/>
      <scheme val="minor"/>
    </font>
    <font>
      <b/>
      <sz val="14"/>
      <color rgb="FF1F1F1F"/>
      <name val="Aptos Narrow"/>
      <family val="2"/>
      <scheme val="minor"/>
    </font>
    <font>
      <sz val="12"/>
      <color rgb="FFFFFFFF"/>
      <name val="Aptos Narrow"/>
      <family val="2"/>
      <scheme val="minor"/>
    </font>
  </fonts>
  <fills count="11">
    <fill>
      <patternFill patternType="none"/>
    </fill>
    <fill>
      <patternFill patternType="gray125"/>
    </fill>
    <fill>
      <patternFill patternType="solid">
        <fgColor theme="0"/>
        <bgColor indexed="64"/>
      </patternFill>
    </fill>
    <fill>
      <patternFill patternType="solid">
        <fgColor theme="4"/>
        <bgColor indexed="64"/>
      </patternFill>
    </fill>
    <fill>
      <patternFill patternType="solid">
        <fgColor theme="2" tint="-0.249977111117893"/>
        <bgColor indexed="64"/>
      </patternFill>
    </fill>
    <fill>
      <patternFill patternType="solid">
        <fgColor rgb="FFFFC000"/>
        <bgColor indexed="64"/>
      </patternFill>
    </fill>
    <fill>
      <patternFill patternType="solid">
        <fgColor rgb="FFED7D31"/>
        <bgColor indexed="64"/>
      </patternFill>
    </fill>
    <fill>
      <patternFill patternType="solid">
        <fgColor rgb="FFFFFFFF"/>
        <bgColor indexed="64"/>
      </patternFill>
    </fill>
    <fill>
      <patternFill patternType="solid">
        <fgColor rgb="FFD9D9D9"/>
        <bgColor indexed="64"/>
      </patternFill>
    </fill>
    <fill>
      <patternFill patternType="solid">
        <fgColor theme="2" tint="-9.9978637043366805E-2"/>
        <bgColor indexed="64"/>
      </patternFill>
    </fill>
    <fill>
      <patternFill patternType="solid">
        <fgColor theme="5"/>
        <bgColor indexed="64"/>
      </patternFill>
    </fill>
  </fills>
  <borders count="1">
    <border>
      <left/>
      <right/>
      <top/>
      <bottom/>
      <diagonal/>
    </border>
  </borders>
  <cellStyleXfs count="1">
    <xf numFmtId="0" fontId="0" fillId="0" borderId="0"/>
  </cellStyleXfs>
  <cellXfs count="28">
    <xf numFmtId="0" fontId="0" fillId="0" borderId="0" xfId="0"/>
    <xf numFmtId="0" fontId="0" fillId="2" borderId="0" xfId="0" applyFill="1"/>
    <xf numFmtId="0" fontId="1" fillId="0" borderId="0" xfId="0" applyFont="1"/>
    <xf numFmtId="14" fontId="0" fillId="0" borderId="0" xfId="0" applyNumberFormat="1"/>
    <xf numFmtId="0" fontId="0" fillId="3" borderId="0" xfId="0" applyFill="1" applyAlignment="1">
      <alignment horizontal="center" vertical="center"/>
    </xf>
    <xf numFmtId="0" fontId="0" fillId="2" borderId="0" xfId="0" applyFill="1" applyAlignment="1">
      <alignment horizontal="center" vertical="center"/>
    </xf>
    <xf numFmtId="0" fontId="0" fillId="4" borderId="0" xfId="0" applyFill="1"/>
    <xf numFmtId="0" fontId="4" fillId="0" borderId="0" xfId="0" applyFont="1" applyAlignment="1">
      <alignment vertical="center"/>
    </xf>
    <xf numFmtId="0" fontId="0" fillId="5" borderId="0" xfId="0" applyFill="1"/>
    <xf numFmtId="0" fontId="6" fillId="6" borderId="0" xfId="0" applyFont="1" applyFill="1"/>
    <xf numFmtId="0" fontId="7" fillId="7" borderId="0" xfId="0" applyFont="1" applyFill="1" applyAlignment="1">
      <alignment horizontal="center" vertical="center"/>
    </xf>
    <xf numFmtId="0" fontId="8" fillId="6" borderId="0" xfId="0" applyFont="1" applyFill="1"/>
    <xf numFmtId="0" fontId="7" fillId="7" borderId="0" xfId="0" applyFont="1" applyFill="1"/>
    <xf numFmtId="0" fontId="7" fillId="8" borderId="0" xfId="0" applyFont="1" applyFill="1"/>
    <xf numFmtId="0" fontId="6" fillId="6" borderId="0" xfId="0" applyFont="1" applyFill="1" applyAlignment="1">
      <alignment horizontal="center" vertical="center"/>
    </xf>
    <xf numFmtId="0" fontId="7" fillId="8" borderId="0" xfId="0" applyFont="1" applyFill="1" applyAlignment="1">
      <alignment horizontal="center" vertical="center"/>
    </xf>
    <xf numFmtId="0" fontId="7" fillId="8" borderId="0" xfId="0" applyFont="1" applyFill="1" applyAlignment="1">
      <alignment horizontal="center"/>
    </xf>
    <xf numFmtId="0" fontId="9" fillId="8" borderId="0" xfId="0" applyFont="1" applyFill="1" applyAlignment="1">
      <alignment horizontal="center"/>
    </xf>
    <xf numFmtId="0" fontId="0" fillId="8" borderId="0" xfId="0" applyFill="1" applyAlignment="1">
      <alignment horizontal="center"/>
    </xf>
    <xf numFmtId="0" fontId="7" fillId="9" borderId="0" xfId="0" applyFont="1" applyFill="1" applyAlignment="1">
      <alignment horizontal="center" vertical="center"/>
    </xf>
    <xf numFmtId="0" fontId="10" fillId="7" borderId="0" xfId="0" applyFont="1" applyFill="1" applyAlignment="1">
      <alignment horizontal="center" vertical="center"/>
    </xf>
    <xf numFmtId="0" fontId="11" fillId="6" borderId="0" xfId="0" applyFont="1" applyFill="1"/>
    <xf numFmtId="0" fontId="7" fillId="0" borderId="0" xfId="0" applyFont="1" applyAlignment="1">
      <alignment horizontal="center" vertical="center"/>
    </xf>
    <xf numFmtId="0" fontId="0" fillId="6" borderId="0" xfId="0" applyFill="1"/>
    <xf numFmtId="0" fontId="6" fillId="0" borderId="0" xfId="0" applyFont="1"/>
    <xf numFmtId="0" fontId="0" fillId="0" borderId="0" xfId="0" applyAlignment="1">
      <alignment horizontal="center" vertical="center"/>
    </xf>
    <xf numFmtId="0" fontId="0" fillId="0" borderId="0" xfId="0" applyAlignment="1">
      <alignment horizontal="center"/>
    </xf>
    <xf numFmtId="0" fontId="3" fillId="10" borderId="0" xfId="0" applyFont="1" applyFill="1" applyAlignment="1">
      <alignment horizontal="center" vertical="center"/>
    </xf>
  </cellXfs>
  <cellStyles count="1">
    <cellStyle name="Normal" xfId="0" builtinId="0"/>
  </cellStyles>
  <dxfs count="78">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fill>
        <patternFill patternType="solid">
          <fgColor indexed="64"/>
          <bgColor theme="0"/>
        </patternFill>
      </fill>
    </dxf>
    <dxf>
      <fill>
        <patternFill patternType="solid">
          <fgColor indexed="64"/>
          <bgColor theme="0"/>
        </patternFill>
      </fill>
    </dxf>
    <dxf>
      <fill>
        <patternFill patternType="solid">
          <fgColor indexed="64"/>
          <bgColor theme="0"/>
        </patternFill>
      </fill>
    </dxf>
    <dxf>
      <fill>
        <patternFill patternType="solid">
          <fgColor indexed="64"/>
          <bgColor theme="0"/>
        </patternFill>
      </fill>
    </dxf>
    <dxf>
      <fill>
        <patternFill patternType="solid">
          <fgColor indexed="64"/>
          <bgColor theme="0"/>
        </patternFill>
      </fill>
    </dxf>
    <dxf>
      <fill>
        <patternFill patternType="solid">
          <fgColor indexed="64"/>
          <bgColor theme="0"/>
        </patternFill>
      </fill>
    </dxf>
    <dxf>
      <fill>
        <patternFill patternType="solid">
          <fgColor indexed="64"/>
          <bgColor theme="0"/>
        </patternFill>
      </fill>
    </dxf>
    <dxf>
      <fill>
        <patternFill patternType="solid">
          <fgColor indexed="64"/>
          <bgColor theme="0"/>
        </patternFill>
      </fill>
    </dxf>
    <dxf>
      <fill>
        <patternFill patternType="solid">
          <fgColor indexed="64"/>
          <bgColor theme="0"/>
        </patternFill>
      </fill>
    </dxf>
    <dxf>
      <fill>
        <patternFill patternType="solid">
          <fgColor indexed="64"/>
          <bgColor theme="0"/>
        </patternFill>
      </fill>
    </dxf>
    <dxf>
      <fill>
        <patternFill patternType="solid">
          <fgColor indexed="64"/>
          <bgColor theme="0"/>
        </patternFill>
      </fill>
    </dxf>
    <dxf>
      <fill>
        <patternFill patternType="solid">
          <fgColor indexed="64"/>
          <bgColor theme="0"/>
        </patternFill>
      </fill>
    </dxf>
    <dxf>
      <fill>
        <patternFill patternType="solid">
          <fgColor indexed="64"/>
          <bgColor theme="0"/>
        </patternFill>
      </fill>
      <alignment horizontal="center" vertical="center" textRotation="0" wrapText="0" indent="0" justifyLastLine="0" shrinkToFit="0" readingOrder="0"/>
    </dxf>
    <dxf>
      <fill>
        <patternFill patternType="solid">
          <fgColor indexed="64"/>
          <bgColor theme="0"/>
        </patternFill>
      </fill>
      <alignment horizontal="center" vertical="center" textRotation="0" wrapText="0" indent="0" justifyLastLine="0" shrinkToFit="0" readingOrder="0"/>
    </dxf>
    <dxf>
      <fill>
        <patternFill patternType="solid">
          <fgColor indexed="64"/>
          <bgColor theme="0"/>
        </patternFill>
      </fill>
      <alignment horizontal="center" vertical="center" textRotation="0" wrapText="0" indent="0" justifyLastLine="0" shrinkToFit="0" readingOrder="0"/>
    </dxf>
    <dxf>
      <numFmt numFmtId="0" formatCode="General"/>
      <fill>
        <patternFill patternType="solid">
          <fgColor indexed="64"/>
          <bgColor rgb="FFFFFF00"/>
        </patternFill>
      </fill>
      <alignment horizontal="center" vertical="center" textRotation="0" wrapText="0" indent="0" justifyLastLine="0" shrinkToFit="0" readingOrder="0"/>
    </dxf>
    <dxf>
      <fill>
        <patternFill patternType="solid">
          <fgColor indexed="64"/>
          <bgColor theme="0"/>
        </patternFill>
      </fill>
      <alignment horizontal="center" vertical="center" textRotation="0" wrapText="0" indent="0" justifyLastLine="0" shrinkToFit="0" readingOrder="0"/>
    </dxf>
    <dxf>
      <fill>
        <patternFill patternType="solid">
          <fgColor indexed="64"/>
          <bgColor theme="0"/>
        </patternFill>
      </fill>
      <alignment horizontal="center" vertical="center" textRotation="0" wrapText="0" indent="0" justifyLastLine="0" shrinkToFit="0" readingOrder="0"/>
    </dxf>
    <dxf>
      <fill>
        <patternFill patternType="solid">
          <fgColor indexed="64"/>
          <bgColor theme="0"/>
        </patternFill>
      </fill>
      <alignment horizontal="center" vertical="center" textRotation="0" wrapText="0" indent="0" justifyLastLine="0" shrinkToFit="0" readingOrder="0"/>
    </dxf>
    <dxf>
      <fill>
        <patternFill patternType="solid">
          <fgColor indexed="64"/>
          <bgColor theme="0"/>
        </patternFill>
      </fill>
      <alignment horizontal="center" vertical="center" textRotation="0" wrapText="0" indent="0" justifyLastLine="0" shrinkToFit="0" readingOrder="0"/>
    </dxf>
    <dxf>
      <fill>
        <patternFill patternType="solid">
          <fgColor indexed="64"/>
          <bgColor theme="0"/>
        </patternFill>
      </fill>
      <alignment horizontal="center" vertical="center" textRotation="0" wrapText="0" indent="0" justifyLastLine="0" shrinkToFit="0" readingOrder="0"/>
    </dxf>
    <dxf>
      <fill>
        <patternFill patternType="solid">
          <fgColor indexed="64"/>
          <bgColor theme="0"/>
        </patternFill>
      </fill>
      <alignment horizontal="center" vertical="center" textRotation="0" wrapText="0" indent="0" justifyLastLine="0" shrinkToFit="0" readingOrder="0"/>
    </dxf>
    <dxf>
      <fill>
        <patternFill patternType="solid">
          <fgColor indexed="64"/>
          <bgColor theme="0"/>
        </patternFill>
      </fill>
      <alignment horizontal="center" vertical="center" textRotation="0" wrapText="0" indent="0" justifyLastLine="0" shrinkToFit="0" readingOrder="0"/>
    </dxf>
    <dxf>
      <numFmt numFmtId="0" formatCode="General"/>
      <fill>
        <patternFill patternType="solid">
          <fgColor indexed="64"/>
          <bgColor theme="0"/>
        </patternFill>
      </fill>
      <alignment horizontal="center" vertical="center" textRotation="0" wrapText="0" indent="0" justifyLastLine="0" shrinkToFit="0" readingOrder="0"/>
    </dxf>
    <dxf>
      <fill>
        <patternFill patternType="solid">
          <fgColor indexed="64"/>
          <bgColor theme="0"/>
        </patternFill>
      </fill>
      <alignment horizontal="center" vertical="center" textRotation="0" wrapText="0" indent="0" justifyLastLine="0" shrinkToFit="0" readingOrder="0"/>
    </dxf>
    <dxf>
      <numFmt numFmtId="0" formatCode="General"/>
      <fill>
        <patternFill patternType="solid">
          <fgColor indexed="64"/>
          <bgColor theme="0"/>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numFmt numFmtId="0" formatCode="General"/>
      <fill>
        <patternFill patternType="solid">
          <fgColor indexed="64"/>
          <bgColor rgb="FFD9D9D9"/>
        </patternFill>
      </fill>
      <alignment horizontal="center" vertical="bottom" textRotation="0" wrapText="0" indent="0" justifyLastLine="0" shrinkToFit="0" readingOrder="0"/>
    </dxf>
    <dxf>
      <fill>
        <patternFill patternType="solid">
          <fgColor indexed="64"/>
          <bgColor rgb="FFD9D9D9"/>
        </patternFill>
      </fill>
      <alignment horizontal="center" vertical="bottom" textRotation="0" wrapText="0" indent="0" justifyLastLine="0" shrinkToFit="0" readingOrder="0"/>
    </dxf>
    <dxf>
      <fill>
        <patternFill patternType="solid">
          <fgColor indexed="64"/>
          <bgColor rgb="FFD9D9D9"/>
        </patternFill>
      </fill>
      <alignment horizontal="center" vertical="bottom" textRotation="0" wrapText="0" indent="0" justifyLastLine="0" shrinkToFit="0" readingOrder="0"/>
    </dxf>
    <dxf>
      <fill>
        <patternFill patternType="solid">
          <fgColor indexed="64"/>
          <bgColor rgb="FFD9D9D9"/>
        </patternFill>
      </fill>
      <alignment horizontal="center" vertical="bottom" textRotation="0" wrapText="0" indent="0" justifyLastLine="0" shrinkToFit="0" readingOrder="0"/>
    </dxf>
    <dxf>
      <fill>
        <patternFill patternType="solid">
          <fgColor indexed="64"/>
          <bgColor rgb="FFD9D9D9"/>
        </patternFill>
      </fill>
      <alignment horizontal="center" vertical="bottom" textRotation="0" wrapText="0" indent="0" justifyLastLine="0" shrinkToFit="0" readingOrder="0"/>
    </dxf>
    <dxf>
      <numFmt numFmtId="0" formatCode="General"/>
      <fill>
        <patternFill patternType="solid">
          <fgColor indexed="64"/>
          <bgColor rgb="FFD9D9D9"/>
        </patternFill>
      </fill>
      <alignment horizontal="center" vertical="bottom" textRotation="0" wrapText="0" indent="0" justifyLastLine="0" shrinkToFit="0" readingOrder="0"/>
    </dxf>
    <dxf>
      <fill>
        <patternFill patternType="solid">
          <fgColor indexed="64"/>
          <bgColor rgb="FFD9D9D9"/>
        </patternFill>
      </fill>
      <alignment horizontal="center" vertical="bottom" textRotation="0" wrapText="0" indent="0" justifyLastLine="0" shrinkToFit="0" readingOrder="0"/>
    </dxf>
    <dxf>
      <font>
        <b/>
        <i val="0"/>
        <strike val="0"/>
        <condense val="0"/>
        <extend val="0"/>
        <outline val="0"/>
        <shadow val="0"/>
        <u val="none"/>
        <vertAlign val="baseline"/>
        <sz val="11"/>
        <color theme="1"/>
        <name val="Aptos Narrow"/>
        <family val="2"/>
        <scheme val="minor"/>
      </font>
      <numFmt numFmtId="0" formatCode="General"/>
      <fill>
        <patternFill patternType="solid">
          <fgColor indexed="64"/>
          <bgColor rgb="FFD9D9D9"/>
        </patternFill>
      </fill>
      <alignment horizontal="center" vertical="bottom" textRotation="0" wrapText="0" indent="0" justifyLastLine="0" shrinkToFit="0" readingOrder="0"/>
    </dxf>
    <dxf>
      <fill>
        <patternFill patternType="solid">
          <fgColor indexed="64"/>
          <bgColor rgb="FFD9D9D9"/>
        </patternFill>
      </fill>
      <alignment horizontal="center" vertical="bottom" textRotation="0" wrapText="0" indent="0" justifyLastLine="0" shrinkToFit="0" readingOrder="0"/>
    </dxf>
    <dxf>
      <fill>
        <patternFill patternType="solid">
          <fgColor indexed="64"/>
          <bgColor rgb="FFD9D9D9"/>
        </patternFill>
      </fill>
      <alignment horizontal="center" vertical="bottom" textRotation="0" wrapText="0" indent="0" justifyLastLine="0" shrinkToFit="0" readingOrder="0"/>
    </dxf>
    <dxf>
      <numFmt numFmtId="0" formatCode="General"/>
      <fill>
        <patternFill patternType="solid">
          <fgColor indexed="64"/>
          <bgColor rgb="FFD9D9D9"/>
        </patternFill>
      </fill>
      <alignment horizontal="center" vertical="bottom" textRotation="0" wrapText="0" indent="0" justifyLastLine="0" shrinkToFit="0" readingOrder="0"/>
    </dxf>
    <dxf>
      <numFmt numFmtId="0" formatCode="General"/>
      <fill>
        <patternFill patternType="solid">
          <fgColor indexed="64"/>
          <bgColor rgb="FFD9D9D9"/>
        </patternFill>
      </fill>
      <alignment horizontal="center" vertical="bottom" textRotation="0" wrapText="0" indent="0" justifyLastLine="0" shrinkToFit="0" readingOrder="0"/>
    </dxf>
    <dxf>
      <numFmt numFmtId="0" formatCode="General"/>
      <fill>
        <patternFill patternType="solid">
          <fgColor indexed="64"/>
          <bgColor rgb="FFD9D9D9"/>
        </patternFill>
      </fill>
      <alignment horizontal="center" vertical="bottom" textRotation="0" wrapText="0" indent="0" justifyLastLine="0" shrinkToFit="0" readingOrder="0"/>
    </dxf>
    <dxf>
      <numFmt numFmtId="0" formatCode="General"/>
      <fill>
        <patternFill patternType="solid">
          <fgColor indexed="64"/>
          <bgColor rgb="FFD9D9D9"/>
        </patternFill>
      </fill>
      <alignment horizontal="center" vertical="bottom" textRotation="0" wrapText="0" indent="0" justifyLastLine="0" shrinkToFit="0" readingOrder="0"/>
    </dxf>
    <dxf>
      <numFmt numFmtId="0" formatCode="General"/>
      <fill>
        <patternFill patternType="solid">
          <fgColor indexed="64"/>
          <bgColor rgb="FFD9D9D9"/>
        </patternFill>
      </fill>
      <alignment horizontal="center" vertical="bottom" textRotation="0" wrapText="0" indent="0" justifyLastLine="0" shrinkToFit="0" readingOrder="0"/>
    </dxf>
    <dxf>
      <numFmt numFmtId="0" formatCode="General"/>
      <fill>
        <patternFill patternType="solid">
          <fgColor indexed="64"/>
          <bgColor rgb="FFD9D9D9"/>
        </patternFill>
      </fill>
      <alignment horizontal="center" vertical="bottom" textRotation="0" wrapText="0" indent="0" justifyLastLine="0" shrinkToFit="0" readingOrder="0"/>
    </dxf>
    <dxf>
      <numFmt numFmtId="0" formatCode="General"/>
      <fill>
        <patternFill patternType="solid">
          <fgColor indexed="64"/>
          <bgColor rgb="FFD9D9D9"/>
        </patternFill>
      </fill>
      <alignment horizontal="center" vertical="bottom" textRotation="0" wrapText="0" indent="0" justifyLastLine="0" shrinkToFit="0" readingOrder="0"/>
    </dxf>
    <dxf>
      <fill>
        <patternFill patternType="solid">
          <fgColor indexed="64"/>
          <bgColor rgb="FFD9D9D9"/>
        </patternFill>
      </fill>
      <alignment horizontal="center" vertical="bottom" textRotation="0" wrapText="0" indent="0" justifyLastLine="0" shrinkToFit="0" readingOrder="0"/>
    </dxf>
    <dxf>
      <font>
        <b/>
        <strike val="0"/>
        <outline val="0"/>
        <shadow val="0"/>
        <u val="none"/>
        <vertAlign val="baseline"/>
        <sz val="14"/>
        <color rgb="FF1F1F1F"/>
        <name val="Aptos Narrow"/>
        <family val="2"/>
        <scheme val="minor"/>
      </font>
      <fill>
        <patternFill patternType="solid">
          <fgColor indexed="64"/>
          <bgColor rgb="FFFFFFFF"/>
        </patternFill>
      </fill>
      <alignment horizontal="center" vertical="center" textRotation="0" wrapText="0" indent="0" justifyLastLine="0" shrinkToFit="0" readingOrder="0"/>
    </dxf>
    <dxf>
      <font>
        <b/>
        <strike val="0"/>
        <outline val="0"/>
        <shadow val="0"/>
        <u val="none"/>
        <vertAlign val="baseline"/>
        <sz val="14"/>
        <color rgb="FF1F1F1F"/>
        <name val="Aptos Narrow"/>
        <family val="2"/>
        <scheme val="minor"/>
      </font>
      <fill>
        <patternFill patternType="solid">
          <fgColor indexed="64"/>
          <bgColor rgb="FFFFFFFF"/>
        </patternFill>
      </fill>
      <alignment horizontal="center" vertical="center" textRotation="0" wrapText="0" indent="0" justifyLastLine="0" shrinkToFit="0" readingOrder="0"/>
    </dxf>
    <dxf>
      <font>
        <b/>
        <strike val="0"/>
        <outline val="0"/>
        <shadow val="0"/>
        <u val="none"/>
        <vertAlign val="baseline"/>
        <sz val="14"/>
        <color rgb="FF1F1F1F"/>
        <name val="Aptos Narrow"/>
        <family val="2"/>
        <scheme val="minor"/>
      </font>
      <fill>
        <patternFill patternType="solid">
          <fgColor indexed="64"/>
          <bgColor rgb="FFFFFFFF"/>
        </patternFill>
      </fill>
      <alignment horizontal="center" vertical="center" textRotation="0" wrapText="0" indent="0" justifyLastLine="0" shrinkToFit="0" readingOrder="0"/>
    </dxf>
    <dxf>
      <font>
        <b/>
        <strike val="0"/>
        <outline val="0"/>
        <shadow val="0"/>
        <u val="none"/>
        <vertAlign val="baseline"/>
        <sz val="14"/>
        <color rgb="FF1F1F1F"/>
        <name val="Aptos Narrow"/>
        <family val="2"/>
        <scheme val="minor"/>
      </font>
      <fill>
        <patternFill patternType="solid">
          <fgColor indexed="64"/>
          <bgColor rgb="FFFFFFFF"/>
        </patternFill>
      </fill>
      <alignment horizontal="center" vertical="center" textRotation="0" wrapText="0" indent="0" justifyLastLine="0" shrinkToFit="0" readingOrder="0"/>
    </dxf>
    <dxf>
      <font>
        <strike val="0"/>
        <outline val="0"/>
        <shadow val="0"/>
        <u val="none"/>
        <vertAlign val="baseline"/>
        <sz val="12"/>
        <color rgb="FFFFFFFF"/>
        <name val="Aptos Narrow"/>
        <family val="2"/>
        <scheme val="minor"/>
      </font>
      <fill>
        <patternFill patternType="solid">
          <fgColor indexed="64"/>
          <bgColor rgb="FFED7D31"/>
        </patternFill>
      </fill>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dxf>
    <dxf>
      <alignment horizontal="center" vertical="bottom" textRotation="0" wrapText="0" indent="0" justifyLastLine="0" shrinkToFit="0" readingOrder="0"/>
    </dxf>
    <dxf>
      <font>
        <color rgb="FF1F1F1F"/>
      </font>
      <fill>
        <patternFill patternType="none">
          <fgColor indexed="64"/>
          <bgColor indexed="65"/>
        </patternFill>
      </fill>
      <alignment horizontal="center" vertical="center" textRotation="0" wrapText="0" indent="0" justifyLastLine="0" shrinkToFit="0" readingOrder="0"/>
    </dxf>
    <dxf>
      <font>
        <color rgb="FF1F1F1F"/>
      </font>
      <fill>
        <patternFill patternType="none">
          <fgColor indexed="64"/>
          <bgColor indexed="65"/>
        </patternFill>
      </fill>
      <alignment horizontal="center" vertical="center" textRotation="0" wrapText="0" indent="0" justifyLastLine="0" shrinkToFit="0" readingOrder="0"/>
    </dxf>
    <dxf>
      <font>
        <color rgb="FF1F1F1F"/>
      </font>
      <fill>
        <patternFill patternType="none">
          <fgColor indexed="64"/>
          <bgColor indexed="65"/>
        </patternFill>
      </fill>
      <alignment horizontal="center" vertical="center" textRotation="0" wrapText="0" indent="0" justifyLastLine="0" shrinkToFit="0" readingOrder="0"/>
    </dxf>
    <dxf>
      <font>
        <color rgb="FF1F1F1F"/>
      </font>
      <fill>
        <patternFill patternType="none">
          <fgColor indexed="64"/>
          <bgColor indexed="65"/>
        </patternFill>
      </fill>
      <alignment horizontal="center" vertical="center" textRotation="0" wrapText="0" indent="0" justifyLastLine="0" shrinkToFit="0" readingOrder="0"/>
    </dxf>
    <dxf>
      <font>
        <color rgb="FF1F1F1F"/>
      </font>
      <numFmt numFmtId="0" formatCode="General"/>
      <fill>
        <patternFill patternType="none">
          <fgColor indexed="64"/>
          <bgColor indexed="65"/>
        </patternFill>
      </fill>
      <alignment horizontal="center" vertical="center" textRotation="0" wrapText="0" indent="0" justifyLastLine="0" shrinkToFit="0" readingOrder="0"/>
    </dxf>
    <dxf>
      <font>
        <color rgb="FF1F1F1F"/>
      </font>
      <numFmt numFmtId="0" formatCode="General"/>
      <fill>
        <patternFill patternType="none">
          <fgColor indexed="64"/>
          <bgColor indexed="65"/>
        </patternFill>
      </fill>
      <alignment horizontal="center" vertical="center" textRotation="0" wrapText="0" indent="0" justifyLastLine="0" shrinkToFit="0" readingOrder="0"/>
    </dxf>
    <dxf>
      <font>
        <color rgb="FF1F1F1F"/>
      </font>
      <numFmt numFmtId="0" formatCode="General"/>
      <fill>
        <patternFill patternType="none">
          <fgColor indexed="64"/>
          <bgColor indexed="65"/>
        </patternFill>
      </fill>
      <alignment horizontal="center" vertical="center" textRotation="0" wrapText="0" indent="0" justifyLastLine="0" shrinkToFit="0" readingOrder="0"/>
    </dxf>
    <dxf>
      <font>
        <color rgb="FF1F1F1F"/>
      </font>
      <fill>
        <patternFill patternType="none">
          <fgColor indexed="64"/>
          <bgColor indexed="65"/>
        </patternFill>
      </fill>
      <alignment horizontal="center" vertical="center" textRotation="0" wrapText="0" indent="0" justifyLastLine="0" shrinkToFit="0" readingOrder="0"/>
    </dxf>
    <dxf>
      <font>
        <color rgb="FF1F1F1F"/>
      </font>
      <numFmt numFmtId="0" formatCode="General"/>
      <fill>
        <patternFill patternType="none">
          <fgColor indexed="64"/>
          <bgColor indexed="65"/>
        </patternFill>
      </fill>
      <alignment horizontal="center" vertical="center" textRotation="0" wrapText="0" indent="0" justifyLastLine="0" shrinkToFit="0" readingOrder="0"/>
    </dxf>
    <dxf>
      <font>
        <color rgb="FF1F1F1F"/>
      </font>
      <numFmt numFmtId="0" formatCode="General"/>
      <fill>
        <patternFill patternType="none">
          <fgColor indexed="64"/>
          <bgColor indexed="65"/>
        </patternFill>
      </fill>
      <alignment horizontal="center" vertical="center" textRotation="0" wrapText="0" indent="0" justifyLastLine="0" shrinkToFit="0" readingOrder="0"/>
    </dxf>
    <dxf>
      <font>
        <color rgb="FF1F1F1F"/>
      </font>
      <numFmt numFmtId="0" formatCode="General"/>
      <fill>
        <patternFill patternType="none">
          <fgColor indexed="64"/>
          <bgColor indexed="65"/>
        </patternFill>
      </fill>
      <alignment horizontal="center" vertical="center" textRotation="0" wrapText="0" indent="0" justifyLastLine="0" shrinkToFit="0" readingOrder="0"/>
    </dxf>
    <dxf>
      <font>
        <color rgb="FF1F1F1F"/>
      </font>
      <numFmt numFmtId="0" formatCode="General"/>
      <fill>
        <patternFill patternType="none">
          <fgColor indexed="64"/>
          <bgColor indexed="65"/>
        </patternFill>
      </fill>
      <alignment horizontal="center" vertical="center" textRotation="0" wrapText="0" indent="0" justifyLastLine="0" shrinkToFit="0" readingOrder="0"/>
    </dxf>
    <dxf>
      <fill>
        <patternFill patternType="none">
          <fgColor indexed="64"/>
          <bgColor auto="1"/>
        </patternFill>
      </fill>
      <alignment horizontal="center" vertical="center" textRotation="0" wrapText="0" indent="0" justifyLastLine="0" shrinkToFit="0" readingOrder="0"/>
    </dxf>
    <dxf>
      <font>
        <color rgb="FFFFFFFF"/>
      </font>
      <fill>
        <patternFill patternType="none">
          <fgColor indexed="64"/>
          <bgColor auto="1"/>
        </patternFill>
      </fill>
    </dxf>
    <dxf>
      <font>
        <color rgb="FF9C0006"/>
      </font>
      <fill>
        <patternFill>
          <bgColor rgb="FFFFC7CE"/>
        </patternFill>
      </fill>
    </dxf>
    <dxf>
      <font>
        <color rgb="FF006100"/>
      </font>
      <fill>
        <patternFill>
          <bgColor rgb="FFC6EFCE"/>
        </patternFill>
      </fill>
    </dxf>
  </dxfs>
  <tableStyles count="0" defaultTableStyle="TableStyleMedium2" defaultPivotStyle="PivotStyleLight16"/>
  <colors>
    <mruColors>
      <color rgb="FFD0D0D0"/>
      <color rgb="FFED7D3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microsoft.com/office/2007/relationships/slicerCache" Target="slicerCaches/slicerCache8.xml"/><Relationship Id="rId18" Type="http://schemas.microsoft.com/office/2007/relationships/slicerCache" Target="slicerCaches/slicerCache13.xml"/><Relationship Id="rId26" Type="http://schemas.openxmlformats.org/officeDocument/2006/relationships/calcChain" Target="calcChain.xml"/><Relationship Id="rId21" Type="http://schemas.openxmlformats.org/officeDocument/2006/relationships/connections" Target="connections.xml"/><Relationship Id="rId34" Type="http://schemas.openxmlformats.org/officeDocument/2006/relationships/customXml" Target="../customXml/item8.xml"/><Relationship Id="rId7" Type="http://schemas.microsoft.com/office/2007/relationships/slicerCache" Target="slicerCaches/slicerCache2.xml"/><Relationship Id="rId12" Type="http://schemas.microsoft.com/office/2007/relationships/slicerCache" Target="slicerCaches/slicerCache7.xml"/><Relationship Id="rId17" Type="http://schemas.microsoft.com/office/2007/relationships/slicerCache" Target="slicerCaches/slicerCache12.xml"/><Relationship Id="rId25" Type="http://schemas.openxmlformats.org/officeDocument/2006/relationships/powerPivotData" Target="model/item.data"/><Relationship Id="rId33" Type="http://schemas.openxmlformats.org/officeDocument/2006/relationships/customXml" Target="../customXml/item7.xml"/><Relationship Id="rId2" Type="http://schemas.openxmlformats.org/officeDocument/2006/relationships/worksheet" Target="worksheets/sheet2.xml"/><Relationship Id="rId16" Type="http://schemas.microsoft.com/office/2007/relationships/slicerCache" Target="slicerCaches/slicerCache11.xml"/><Relationship Id="rId20" Type="http://schemas.openxmlformats.org/officeDocument/2006/relationships/theme" Target="theme/theme1.xml"/><Relationship Id="rId29" Type="http://schemas.openxmlformats.org/officeDocument/2006/relationships/customXml" Target="../customXml/item3.xml"/><Relationship Id="rId1" Type="http://schemas.openxmlformats.org/officeDocument/2006/relationships/worksheet" Target="worksheets/sheet1.xml"/><Relationship Id="rId6" Type="http://schemas.microsoft.com/office/2007/relationships/slicerCache" Target="slicerCaches/slicerCache1.xml"/><Relationship Id="rId11" Type="http://schemas.microsoft.com/office/2007/relationships/slicerCache" Target="slicerCaches/slicerCache6.xml"/><Relationship Id="rId24" Type="http://schemas.openxmlformats.org/officeDocument/2006/relationships/sheetMetadata" Target="metadata.xml"/><Relationship Id="rId32" Type="http://schemas.openxmlformats.org/officeDocument/2006/relationships/customXml" Target="../customXml/item6.xml"/><Relationship Id="rId37" Type="http://schemas.microsoft.com/office/2006/relationships/vbaProject" Target="vbaProject.bin"/><Relationship Id="rId5" Type="http://schemas.openxmlformats.org/officeDocument/2006/relationships/worksheet" Target="worksheets/sheet5.xml"/><Relationship Id="rId15" Type="http://schemas.microsoft.com/office/2007/relationships/slicerCache" Target="slicerCaches/slicerCache10.xml"/><Relationship Id="rId23" Type="http://schemas.openxmlformats.org/officeDocument/2006/relationships/sharedStrings" Target="sharedStrings.xml"/><Relationship Id="rId28" Type="http://schemas.openxmlformats.org/officeDocument/2006/relationships/customXml" Target="../customXml/item2.xml"/><Relationship Id="rId36" Type="http://schemas.openxmlformats.org/officeDocument/2006/relationships/customXml" Target="../customXml/item10.xml"/><Relationship Id="rId10" Type="http://schemas.microsoft.com/office/2007/relationships/slicerCache" Target="slicerCaches/slicerCache5.xml"/><Relationship Id="rId19" Type="http://schemas.microsoft.com/office/2007/relationships/slicerCache" Target="slicerCaches/slicerCache14.xml"/><Relationship Id="rId31" Type="http://schemas.openxmlformats.org/officeDocument/2006/relationships/customXml" Target="../customXml/item5.xml"/><Relationship Id="rId4" Type="http://schemas.openxmlformats.org/officeDocument/2006/relationships/worksheet" Target="worksheets/sheet4.xml"/><Relationship Id="rId9" Type="http://schemas.microsoft.com/office/2007/relationships/slicerCache" Target="slicerCaches/slicerCache4.xml"/><Relationship Id="rId14" Type="http://schemas.microsoft.com/office/2007/relationships/slicerCache" Target="slicerCaches/slicerCache9.xml"/><Relationship Id="rId22" Type="http://schemas.openxmlformats.org/officeDocument/2006/relationships/styles" Target="styles.xml"/><Relationship Id="rId27" Type="http://schemas.openxmlformats.org/officeDocument/2006/relationships/customXml" Target="../customXml/item1.xml"/><Relationship Id="rId30" Type="http://schemas.openxmlformats.org/officeDocument/2006/relationships/customXml" Target="../customXml/item4.xml"/><Relationship Id="rId35" Type="http://schemas.openxmlformats.org/officeDocument/2006/relationships/customXml" Target="../customXml/item9.xml"/><Relationship Id="rId8" Type="http://schemas.microsoft.com/office/2007/relationships/slicerCache" Target="slicerCaches/slicerCache3.xml"/><Relationship Id="rId3" Type="http://schemas.openxmlformats.org/officeDocument/2006/relationships/worksheet" Target="worksheets/sheet3.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xdr:from>
      <xdr:col>0</xdr:col>
      <xdr:colOff>0</xdr:colOff>
      <xdr:row>10</xdr:row>
      <xdr:rowOff>47625</xdr:rowOff>
    </xdr:from>
    <xdr:to>
      <xdr:col>23</xdr:col>
      <xdr:colOff>9525</xdr:colOff>
      <xdr:row>35</xdr:row>
      <xdr:rowOff>19050</xdr:rowOff>
    </xdr:to>
    <xdr:sp macro="" textlink="">
      <xdr:nvSpPr>
        <xdr:cNvPr id="3" name="TextBox 1">
          <a:extLst>
            <a:ext uri="{FF2B5EF4-FFF2-40B4-BE49-F238E27FC236}">
              <a16:creationId xmlns:a16="http://schemas.microsoft.com/office/drawing/2014/main" id="{A0ADCF86-AEAD-4AD1-ABD7-791178E76937}"/>
            </a:ext>
          </a:extLst>
        </xdr:cNvPr>
        <xdr:cNvSpPr txBox="1"/>
      </xdr:nvSpPr>
      <xdr:spPr>
        <a:xfrm>
          <a:off x="0" y="1952625"/>
          <a:ext cx="14030325" cy="4733925"/>
        </a:xfrm>
        <a:prstGeom prst="rect">
          <a:avLst/>
        </a:prstGeom>
        <a:solidFill>
          <a:schemeClr val="bg1"/>
        </a:solidFill>
        <a:ln w="9525" cmpd="sng">
          <a:solidFill>
            <a:srgbClr val="ED7D31"/>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400"/>
            <a:t>Purpose:</a:t>
          </a:r>
          <a:r>
            <a:rPr lang="en-US" sz="2400" baseline="0"/>
            <a:t>  The user can create a test form through a selection of both products and tests for the benchmark study. The process of creating a testing grid for paint that matches all brands, products, sheens, and colors selected as well as preparing the lists of tests for each of those unique product combinations can be time consuming with relentless copy and pasting and proper matching otherwise known as a cartesian product. </a:t>
          </a:r>
          <a:br>
            <a:rPr lang="en-US" sz="2400" baseline="0"/>
          </a:br>
          <a:br>
            <a:rPr lang="en-US" sz="2400" baseline="0"/>
          </a:br>
          <a:r>
            <a:rPr lang="en-US" sz="2400" baseline="0"/>
            <a:t>This form servers to automate that process and create a clean combination of all products and tests selected, assign them unique Record IDs as well as make data entry more robust, cleaner, and user friendly. </a:t>
          </a:r>
        </a:p>
        <a:p>
          <a:endParaRPr lang="en-US" sz="2400" baseline="0"/>
        </a:p>
        <a:p>
          <a:r>
            <a:rPr lang="en-US" sz="2400" baseline="0"/>
            <a:t>1) Select products from the product database in the Products Sheet</a:t>
          </a:r>
        </a:p>
        <a:p>
          <a:r>
            <a:rPr lang="en-US" sz="2400" baseline="0"/>
            <a:t>2) Select the tests that you would like to run in the benchmark in the Testing Sheet</a:t>
          </a:r>
        </a:p>
        <a:p>
          <a:r>
            <a:rPr lang="en-US" sz="2400" baseline="0"/>
            <a:t>3) Refresh the form to generate your benchmark record form in the BenchmarkGrid Sheet</a:t>
          </a:r>
        </a:p>
        <a:p>
          <a:r>
            <a:rPr lang="en-US" sz="2400" baseline="0"/>
            <a:t>4) Save the file with Project ID and store it into the appropriate records folder to add it to the data model</a:t>
          </a:r>
          <a:endParaRPr lang="en-US" sz="2400"/>
        </a:p>
      </xdr:txBody>
    </xdr:sp>
    <xdr:clientData/>
  </xdr:twoCellAnchor>
</xdr:wsDr>
</file>

<file path=xl/drawings/drawing2.xml><?xml version="1.0" encoding="utf-8"?>
<xdr:wsDr xmlns:xdr="http://schemas.openxmlformats.org/drawingml/2006/spreadsheetDrawing" xmlns:a="http://schemas.openxmlformats.org/drawingml/2006/main">
  <xdr:twoCellAnchor editAs="absolute">
    <xdr:from>
      <xdr:col>4</xdr:col>
      <xdr:colOff>427348</xdr:colOff>
      <xdr:row>9</xdr:row>
      <xdr:rowOff>117442</xdr:rowOff>
    </xdr:from>
    <xdr:to>
      <xdr:col>5</xdr:col>
      <xdr:colOff>1058159</xdr:colOff>
      <xdr:row>19</xdr:row>
      <xdr:rowOff>80520</xdr:rowOff>
    </xdr:to>
    <mc:AlternateContent xmlns:mc="http://schemas.openxmlformats.org/markup-compatibility/2006" xmlns:sle15="http://schemas.microsoft.com/office/drawing/2012/slicer">
      <mc:Choice Requires="sle15">
        <xdr:graphicFrame macro="">
          <xdr:nvGraphicFramePr>
            <xdr:cNvPr id="2" name="Brand">
              <a:extLst>
                <a:ext uri="{FF2B5EF4-FFF2-40B4-BE49-F238E27FC236}">
                  <a16:creationId xmlns:a16="http://schemas.microsoft.com/office/drawing/2014/main" id="{B4C50DE6-B1DA-CC48-64B0-2E320138083C}"/>
                </a:ext>
              </a:extLst>
            </xdr:cNvPr>
            <xdr:cNvGraphicFramePr>
              <a:graphicFrameLocks/>
            </xdr:cNvGraphicFramePr>
          </xdr:nvGraphicFramePr>
          <xdr:xfrm>
            <a:off x="0" y="0"/>
            <a:ext cx="0" cy="0"/>
          </xdr:xfrm>
          <a:graphic>
            <a:graphicData uri="http://schemas.microsoft.com/office/drawing/2010/slicer">
              <sle:slicer xmlns:sle="http://schemas.microsoft.com/office/drawing/2010/slicer" name="Brand"/>
            </a:graphicData>
          </a:graphic>
        </xdr:graphicFrame>
      </mc:Choice>
      <mc:Fallback xmlns="">
        <xdr:sp macro="" textlink="">
          <xdr:nvSpPr>
            <xdr:cNvPr id="0" name=""/>
            <xdr:cNvSpPr>
              <a:spLocks noTextEdit="1"/>
            </xdr:cNvSpPr>
          </xdr:nvSpPr>
          <xdr:spPr>
            <a:xfrm>
              <a:off x="3962400" y="3092777"/>
              <a:ext cx="1828800" cy="1828800"/>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17</xdr:col>
      <xdr:colOff>211710</xdr:colOff>
      <xdr:row>9</xdr:row>
      <xdr:rowOff>137081</xdr:rowOff>
    </xdr:from>
    <xdr:to>
      <xdr:col>19</xdr:col>
      <xdr:colOff>539194</xdr:colOff>
      <xdr:row>34</xdr:row>
      <xdr:rowOff>19639</xdr:rowOff>
    </xdr:to>
    <mc:AlternateContent xmlns:mc="http://schemas.openxmlformats.org/markup-compatibility/2006" xmlns:sle15="http://schemas.microsoft.com/office/drawing/2012/slicer">
      <mc:Choice Requires="sle15">
        <xdr:graphicFrame macro="">
          <xdr:nvGraphicFramePr>
            <xdr:cNvPr id="3" name="Unique Product Name 1">
              <a:extLst>
                <a:ext uri="{FF2B5EF4-FFF2-40B4-BE49-F238E27FC236}">
                  <a16:creationId xmlns:a16="http://schemas.microsoft.com/office/drawing/2014/main" id="{EA8512F3-99DF-1C9D-D856-29DDDB078CFA}"/>
                </a:ext>
              </a:extLst>
            </xdr:cNvPr>
            <xdr:cNvGraphicFramePr>
              <a:graphicFrameLocks/>
            </xdr:cNvGraphicFramePr>
          </xdr:nvGraphicFramePr>
          <xdr:xfrm>
            <a:off x="0" y="0"/>
            <a:ext cx="0" cy="0"/>
          </xdr:xfrm>
          <a:graphic>
            <a:graphicData uri="http://schemas.microsoft.com/office/drawing/2010/slicer">
              <sle:slicer xmlns:sle="http://schemas.microsoft.com/office/drawing/2010/slicer" name="Unique Product Name 1"/>
            </a:graphicData>
          </a:graphic>
        </xdr:graphicFrame>
      </mc:Choice>
      <mc:Fallback xmlns="">
        <xdr:sp macro="" textlink="">
          <xdr:nvSpPr>
            <xdr:cNvPr id="0" name=""/>
            <xdr:cNvSpPr>
              <a:spLocks noTextEdit="1"/>
            </xdr:cNvSpPr>
          </xdr:nvSpPr>
          <xdr:spPr>
            <a:xfrm>
              <a:off x="11936298" y="3112416"/>
              <a:ext cx="4333875" cy="4546862"/>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5</xdr:col>
      <xdr:colOff>1210559</xdr:colOff>
      <xdr:row>9</xdr:row>
      <xdr:rowOff>117442</xdr:rowOff>
    </xdr:from>
    <xdr:to>
      <xdr:col>8</xdr:col>
      <xdr:colOff>1036163</xdr:colOff>
      <xdr:row>19</xdr:row>
      <xdr:rowOff>80520</xdr:rowOff>
    </xdr:to>
    <mc:AlternateContent xmlns:mc="http://schemas.openxmlformats.org/markup-compatibility/2006" xmlns:sle15="http://schemas.microsoft.com/office/drawing/2012/slicer">
      <mc:Choice Requires="sle15">
        <xdr:graphicFrame macro="">
          <xdr:nvGraphicFramePr>
            <xdr:cNvPr id="4" name="Color">
              <a:extLst>
                <a:ext uri="{FF2B5EF4-FFF2-40B4-BE49-F238E27FC236}">
                  <a16:creationId xmlns:a16="http://schemas.microsoft.com/office/drawing/2014/main" id="{4584BC07-9829-BCC7-D0D0-D7848FD5890F}"/>
                </a:ext>
              </a:extLst>
            </xdr:cNvPr>
            <xdr:cNvGraphicFramePr>
              <a:graphicFrameLocks/>
            </xdr:cNvGraphicFramePr>
          </xdr:nvGraphicFramePr>
          <xdr:xfrm>
            <a:off x="0" y="0"/>
            <a:ext cx="0" cy="0"/>
          </xdr:xfrm>
          <a:graphic>
            <a:graphicData uri="http://schemas.microsoft.com/office/drawing/2010/slicer">
              <sle:slicer xmlns:sle="http://schemas.microsoft.com/office/drawing/2010/slicer" name="Color"/>
            </a:graphicData>
          </a:graphic>
        </xdr:graphicFrame>
      </mc:Choice>
      <mc:Fallback xmlns="">
        <xdr:sp macro="" textlink="">
          <xdr:nvSpPr>
            <xdr:cNvPr id="0" name=""/>
            <xdr:cNvSpPr>
              <a:spLocks noTextEdit="1"/>
            </xdr:cNvSpPr>
          </xdr:nvSpPr>
          <xdr:spPr>
            <a:xfrm>
              <a:off x="5943600" y="3092777"/>
              <a:ext cx="1828800" cy="1828800"/>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9</xdr:col>
      <xdr:colOff>108408</xdr:colOff>
      <xdr:row>9</xdr:row>
      <xdr:rowOff>117442</xdr:rowOff>
    </xdr:from>
    <xdr:to>
      <xdr:col>9</xdr:col>
      <xdr:colOff>1937208</xdr:colOff>
      <xdr:row>19</xdr:row>
      <xdr:rowOff>80520</xdr:rowOff>
    </xdr:to>
    <mc:AlternateContent xmlns:mc="http://schemas.openxmlformats.org/markup-compatibility/2006" xmlns:sle15="http://schemas.microsoft.com/office/drawing/2012/slicer">
      <mc:Choice Requires="sle15">
        <xdr:graphicFrame macro="">
          <xdr:nvGraphicFramePr>
            <xdr:cNvPr id="5" name="Sheen">
              <a:extLst>
                <a:ext uri="{FF2B5EF4-FFF2-40B4-BE49-F238E27FC236}">
                  <a16:creationId xmlns:a16="http://schemas.microsoft.com/office/drawing/2014/main" id="{4FA1D225-5374-1032-5DE8-3E535922017E}"/>
                </a:ext>
              </a:extLst>
            </xdr:cNvPr>
            <xdr:cNvGraphicFramePr>
              <a:graphicFrameLocks/>
            </xdr:cNvGraphicFramePr>
          </xdr:nvGraphicFramePr>
          <xdr:xfrm>
            <a:off x="0" y="0"/>
            <a:ext cx="0" cy="0"/>
          </xdr:xfrm>
          <a:graphic>
            <a:graphicData uri="http://schemas.microsoft.com/office/drawing/2010/slicer">
              <sle:slicer xmlns:sle="http://schemas.microsoft.com/office/drawing/2010/slicer" name="Sheen"/>
            </a:graphicData>
          </a:graphic>
        </xdr:graphicFrame>
      </mc:Choice>
      <mc:Fallback xmlns="">
        <xdr:sp macro="" textlink="">
          <xdr:nvSpPr>
            <xdr:cNvPr id="0" name=""/>
            <xdr:cNvSpPr>
              <a:spLocks noTextEdit="1"/>
            </xdr:cNvSpPr>
          </xdr:nvSpPr>
          <xdr:spPr>
            <a:xfrm>
              <a:off x="7924800" y="3092777"/>
              <a:ext cx="1828800" cy="1828800"/>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0</xdr:col>
      <xdr:colOff>0</xdr:colOff>
      <xdr:row>9</xdr:row>
      <xdr:rowOff>117442</xdr:rowOff>
    </xdr:from>
    <xdr:to>
      <xdr:col>2</xdr:col>
      <xdr:colOff>179109</xdr:colOff>
      <xdr:row>19</xdr:row>
      <xdr:rowOff>80520</xdr:rowOff>
    </xdr:to>
    <mc:AlternateContent xmlns:mc="http://schemas.openxmlformats.org/markup-compatibility/2006" xmlns:sle15="http://schemas.microsoft.com/office/drawing/2012/slicer">
      <mc:Choice Requires="sle15">
        <xdr:graphicFrame macro="">
          <xdr:nvGraphicFramePr>
            <xdr:cNvPr id="6" name="Application">
              <a:extLst>
                <a:ext uri="{FF2B5EF4-FFF2-40B4-BE49-F238E27FC236}">
                  <a16:creationId xmlns:a16="http://schemas.microsoft.com/office/drawing/2014/main" id="{FCA6F71E-A976-E1B0-3879-0BE87C778216}"/>
                </a:ext>
              </a:extLst>
            </xdr:cNvPr>
            <xdr:cNvGraphicFramePr>
              <a:graphicFrameLocks/>
            </xdr:cNvGraphicFramePr>
          </xdr:nvGraphicFramePr>
          <xdr:xfrm>
            <a:off x="0" y="0"/>
            <a:ext cx="0" cy="0"/>
          </xdr:xfrm>
          <a:graphic>
            <a:graphicData uri="http://schemas.microsoft.com/office/drawing/2010/slicer">
              <sle:slicer xmlns:sle="http://schemas.microsoft.com/office/drawing/2010/slicer" name="Application"/>
            </a:graphicData>
          </a:graphic>
        </xdr:graphicFrame>
      </mc:Choice>
      <mc:Fallback xmlns="">
        <xdr:sp macro="" textlink="">
          <xdr:nvSpPr>
            <xdr:cNvPr id="0" name=""/>
            <xdr:cNvSpPr>
              <a:spLocks noTextEdit="1"/>
            </xdr:cNvSpPr>
          </xdr:nvSpPr>
          <xdr:spPr>
            <a:xfrm>
              <a:off x="0" y="3092777"/>
              <a:ext cx="1828800" cy="1828800"/>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2</xdr:col>
      <xdr:colOff>331509</xdr:colOff>
      <xdr:row>9</xdr:row>
      <xdr:rowOff>117442</xdr:rowOff>
    </xdr:from>
    <xdr:to>
      <xdr:col>4</xdr:col>
      <xdr:colOff>274948</xdr:colOff>
      <xdr:row>19</xdr:row>
      <xdr:rowOff>80520</xdr:rowOff>
    </xdr:to>
    <mc:AlternateContent xmlns:mc="http://schemas.openxmlformats.org/markup-compatibility/2006" xmlns:sle15="http://schemas.microsoft.com/office/drawing/2012/slicer">
      <mc:Choice Requires="sle15">
        <xdr:graphicFrame macro="">
          <xdr:nvGraphicFramePr>
            <xdr:cNvPr id="7" name="Performance">
              <a:extLst>
                <a:ext uri="{FF2B5EF4-FFF2-40B4-BE49-F238E27FC236}">
                  <a16:creationId xmlns:a16="http://schemas.microsoft.com/office/drawing/2014/main" id="{62C92039-8722-00F9-0CB2-CB9FF4D888AB}"/>
                </a:ext>
              </a:extLst>
            </xdr:cNvPr>
            <xdr:cNvGraphicFramePr>
              <a:graphicFrameLocks/>
            </xdr:cNvGraphicFramePr>
          </xdr:nvGraphicFramePr>
          <xdr:xfrm>
            <a:off x="0" y="0"/>
            <a:ext cx="0" cy="0"/>
          </xdr:xfrm>
          <a:graphic>
            <a:graphicData uri="http://schemas.microsoft.com/office/drawing/2010/slicer">
              <sle:slicer xmlns:sle="http://schemas.microsoft.com/office/drawing/2010/slicer" name="Performance"/>
            </a:graphicData>
          </a:graphic>
        </xdr:graphicFrame>
      </mc:Choice>
      <mc:Fallback xmlns="">
        <xdr:sp macro="" textlink="">
          <xdr:nvSpPr>
            <xdr:cNvPr id="0" name=""/>
            <xdr:cNvSpPr>
              <a:spLocks noTextEdit="1"/>
            </xdr:cNvSpPr>
          </xdr:nvSpPr>
          <xdr:spPr>
            <a:xfrm>
              <a:off x="1981200" y="3092777"/>
              <a:ext cx="1828800" cy="1828800"/>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xdr:from>
      <xdr:col>17</xdr:col>
      <xdr:colOff>176753</xdr:colOff>
      <xdr:row>6</xdr:row>
      <xdr:rowOff>88377</xdr:rowOff>
    </xdr:from>
    <xdr:to>
      <xdr:col>19</xdr:col>
      <xdr:colOff>471341</xdr:colOff>
      <xdr:row>9</xdr:row>
      <xdr:rowOff>108016</xdr:rowOff>
    </xdr:to>
    <xdr:sp macro="" textlink="">
      <xdr:nvSpPr>
        <xdr:cNvPr id="8" name="TextBox 7">
          <a:extLst>
            <a:ext uri="{FF2B5EF4-FFF2-40B4-BE49-F238E27FC236}">
              <a16:creationId xmlns:a16="http://schemas.microsoft.com/office/drawing/2014/main" id="{9FE613C1-0810-447C-59B5-51C71EA430A2}"/>
            </a:ext>
          </a:extLst>
        </xdr:cNvPr>
        <xdr:cNvSpPr txBox="1"/>
      </xdr:nvSpPr>
      <xdr:spPr>
        <a:xfrm>
          <a:off x="11901341" y="2818222"/>
          <a:ext cx="4300979" cy="579356"/>
        </a:xfrm>
        <a:prstGeom prst="rect">
          <a:avLst/>
        </a:prstGeom>
        <a:solidFill>
          <a:schemeClr val="accent2"/>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2000"/>
            <a:t>Pick your Products Here</a:t>
          </a:r>
        </a:p>
      </xdr:txBody>
    </xdr:sp>
    <xdr:clientData/>
  </xdr:twoCellAnchor>
  <xdr:twoCellAnchor>
    <xdr:from>
      <xdr:col>0</xdr:col>
      <xdr:colOff>530258</xdr:colOff>
      <xdr:row>4</xdr:row>
      <xdr:rowOff>19640</xdr:rowOff>
    </xdr:from>
    <xdr:to>
      <xdr:col>3</xdr:col>
      <xdr:colOff>962321</xdr:colOff>
      <xdr:row>6</xdr:row>
      <xdr:rowOff>49099</xdr:rowOff>
    </xdr:to>
    <xdr:sp macro="" textlink="">
      <xdr:nvSpPr>
        <xdr:cNvPr id="9" name="TextBox 8">
          <a:extLst>
            <a:ext uri="{FF2B5EF4-FFF2-40B4-BE49-F238E27FC236}">
              <a16:creationId xmlns:a16="http://schemas.microsoft.com/office/drawing/2014/main" id="{A05249B7-A7CC-EA5C-5157-266E58EA3A2B}"/>
            </a:ext>
          </a:extLst>
        </xdr:cNvPr>
        <xdr:cNvSpPr txBox="1"/>
      </xdr:nvSpPr>
      <xdr:spPr>
        <a:xfrm>
          <a:off x="530258" y="2003197"/>
          <a:ext cx="2975336" cy="402603"/>
        </a:xfrm>
        <a:prstGeom prst="rect">
          <a:avLst/>
        </a:prstGeom>
        <a:solidFill>
          <a:srgbClr val="FFFF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solidFill>
                <a:schemeClr val="tx1"/>
              </a:solidFill>
            </a:rPr>
            <a:t>Give</a:t>
          </a:r>
          <a:r>
            <a:rPr lang="en-US" sz="1100" baseline="0">
              <a:solidFill>
                <a:schemeClr val="tx1"/>
              </a:solidFill>
            </a:rPr>
            <a:t> your Project a PDL ID</a:t>
          </a:r>
          <a:endParaRPr lang="en-US" sz="1100">
            <a:solidFill>
              <a:schemeClr val="tx1"/>
            </a:solidFill>
          </a:endParaRPr>
        </a:p>
      </xdr:txBody>
    </xdr:sp>
    <xdr:clientData/>
  </xdr:twoCellAnchor>
  <xdr:twoCellAnchor>
    <xdr:from>
      <xdr:col>0</xdr:col>
      <xdr:colOff>0</xdr:colOff>
      <xdr:row>0</xdr:row>
      <xdr:rowOff>0</xdr:rowOff>
    </xdr:from>
    <xdr:to>
      <xdr:col>9</xdr:col>
      <xdr:colOff>1651458</xdr:colOff>
      <xdr:row>2</xdr:row>
      <xdr:rowOff>39279</xdr:rowOff>
    </xdr:to>
    <xdr:sp macro="" textlink="">
      <xdr:nvSpPr>
        <xdr:cNvPr id="10" name="TextBox 9">
          <a:extLst>
            <a:ext uri="{FF2B5EF4-FFF2-40B4-BE49-F238E27FC236}">
              <a16:creationId xmlns:a16="http://schemas.microsoft.com/office/drawing/2014/main" id="{64930591-2221-49AA-B678-8331C90F5F1A}"/>
            </a:ext>
          </a:extLst>
        </xdr:cNvPr>
        <xdr:cNvSpPr txBox="1"/>
      </xdr:nvSpPr>
      <xdr:spPr>
        <a:xfrm>
          <a:off x="0" y="0"/>
          <a:ext cx="9467850" cy="1649691"/>
        </a:xfrm>
        <a:prstGeom prst="rect">
          <a:avLst/>
        </a:prstGeom>
        <a:solidFill>
          <a:schemeClr val="accent2"/>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5400"/>
            <a:t>Step 1: Product Selection</a:t>
          </a:r>
        </a:p>
      </xdr:txBody>
    </xdr:sp>
    <xdr:clientData/>
  </xdr:twoCellAnchor>
  <xdr:twoCellAnchor editAs="absolute">
    <xdr:from>
      <xdr:col>9</xdr:col>
      <xdr:colOff>2089608</xdr:colOff>
      <xdr:row>9</xdr:row>
      <xdr:rowOff>117442</xdr:rowOff>
    </xdr:from>
    <xdr:to>
      <xdr:col>17</xdr:col>
      <xdr:colOff>10212</xdr:colOff>
      <xdr:row>19</xdr:row>
      <xdr:rowOff>80520</xdr:rowOff>
    </xdr:to>
    <mc:AlternateContent xmlns:mc="http://schemas.openxmlformats.org/markup-compatibility/2006" xmlns:sle15="http://schemas.microsoft.com/office/drawing/2012/slicer">
      <mc:Choice Requires="sle15">
        <xdr:graphicFrame macro="">
          <xdr:nvGraphicFramePr>
            <xdr:cNvPr id="11" name="Purchase Year">
              <a:extLst>
                <a:ext uri="{FF2B5EF4-FFF2-40B4-BE49-F238E27FC236}">
                  <a16:creationId xmlns:a16="http://schemas.microsoft.com/office/drawing/2014/main" id="{12F6D1DC-4597-2EB5-5786-804D16D61335}"/>
                </a:ext>
              </a:extLst>
            </xdr:cNvPr>
            <xdr:cNvGraphicFramePr>
              <a:graphicFrameLocks/>
            </xdr:cNvGraphicFramePr>
          </xdr:nvGraphicFramePr>
          <xdr:xfrm>
            <a:off x="0" y="0"/>
            <a:ext cx="0" cy="0"/>
          </xdr:xfrm>
          <a:graphic>
            <a:graphicData uri="http://schemas.microsoft.com/office/drawing/2010/slicer">
              <sle:slicer xmlns:sle="http://schemas.microsoft.com/office/drawing/2010/slicer" name="Purchase Year"/>
            </a:graphicData>
          </a:graphic>
        </xdr:graphicFrame>
      </mc:Choice>
      <mc:Fallback xmlns="">
        <xdr:sp macro="" textlink="">
          <xdr:nvSpPr>
            <xdr:cNvPr id="0" name=""/>
            <xdr:cNvSpPr>
              <a:spLocks noTextEdit="1"/>
            </xdr:cNvSpPr>
          </xdr:nvSpPr>
          <xdr:spPr>
            <a:xfrm>
              <a:off x="9906000" y="3092777"/>
              <a:ext cx="1828800" cy="1828800"/>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editAs="absolute">
    <xdr:from>
      <xdr:col>0</xdr:col>
      <xdr:colOff>0</xdr:colOff>
      <xdr:row>7</xdr:row>
      <xdr:rowOff>104775</xdr:rowOff>
    </xdr:from>
    <xdr:to>
      <xdr:col>2</xdr:col>
      <xdr:colOff>1038225</xdr:colOff>
      <xdr:row>21</xdr:row>
      <xdr:rowOff>180975</xdr:rowOff>
    </xdr:to>
    <mc:AlternateContent xmlns:mc="http://schemas.openxmlformats.org/markup-compatibility/2006" xmlns:sle15="http://schemas.microsoft.com/office/drawing/2012/slicer">
      <mc:Choice Requires="sle15">
        <xdr:graphicFrame macro="">
          <xdr:nvGraphicFramePr>
            <xdr:cNvPr id="2" name="Test Parent Category">
              <a:extLst>
                <a:ext uri="{FF2B5EF4-FFF2-40B4-BE49-F238E27FC236}">
                  <a16:creationId xmlns:a16="http://schemas.microsoft.com/office/drawing/2014/main" id="{9EA5C5BA-B515-2C2D-DE9D-6A1F260B129A}"/>
                </a:ext>
              </a:extLst>
            </xdr:cNvPr>
            <xdr:cNvGraphicFramePr>
              <a:graphicFrameLocks/>
            </xdr:cNvGraphicFramePr>
          </xdr:nvGraphicFramePr>
          <xdr:xfrm>
            <a:off x="0" y="0"/>
            <a:ext cx="0" cy="0"/>
          </xdr:xfrm>
          <a:graphic>
            <a:graphicData uri="http://schemas.microsoft.com/office/drawing/2010/slicer">
              <sle:slicer xmlns:sle="http://schemas.microsoft.com/office/drawing/2010/slicer" name="Test Parent Category"/>
            </a:graphicData>
          </a:graphic>
        </xdr:graphicFrame>
      </mc:Choice>
      <mc:Fallback xmlns="">
        <xdr:sp macro="" textlink="">
          <xdr:nvSpPr>
            <xdr:cNvPr id="0" name=""/>
            <xdr:cNvSpPr>
              <a:spLocks noTextEdit="1"/>
            </xdr:cNvSpPr>
          </xdr:nvSpPr>
          <xdr:spPr>
            <a:xfrm>
              <a:off x="0" y="1438275"/>
              <a:ext cx="1828800" cy="2743200"/>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26</xdr:col>
      <xdr:colOff>123825</xdr:colOff>
      <xdr:row>23</xdr:row>
      <xdr:rowOff>9525</xdr:rowOff>
    </xdr:from>
    <xdr:to>
      <xdr:col>29</xdr:col>
      <xdr:colOff>228600</xdr:colOff>
      <xdr:row>83</xdr:row>
      <xdr:rowOff>9525</xdr:rowOff>
    </xdr:to>
    <mc:AlternateContent xmlns:mc="http://schemas.openxmlformats.org/markup-compatibility/2006" xmlns:sle15="http://schemas.microsoft.com/office/drawing/2012/slicer">
      <mc:Choice Requires="sle15">
        <xdr:graphicFrame macro="">
          <xdr:nvGraphicFramePr>
            <xdr:cNvPr id="3" name="Test Name">
              <a:extLst>
                <a:ext uri="{FF2B5EF4-FFF2-40B4-BE49-F238E27FC236}">
                  <a16:creationId xmlns:a16="http://schemas.microsoft.com/office/drawing/2014/main" id="{FF18F355-166C-6BC5-5399-F0F325A5BAC2}"/>
                </a:ext>
              </a:extLst>
            </xdr:cNvPr>
            <xdr:cNvGraphicFramePr>
              <a:graphicFrameLocks/>
            </xdr:cNvGraphicFramePr>
          </xdr:nvGraphicFramePr>
          <xdr:xfrm>
            <a:off x="0" y="0"/>
            <a:ext cx="0" cy="0"/>
          </xdr:xfrm>
          <a:graphic>
            <a:graphicData uri="http://schemas.microsoft.com/office/drawing/2010/slicer">
              <sle:slicer xmlns:sle="http://schemas.microsoft.com/office/drawing/2010/slicer" name="Test Name"/>
            </a:graphicData>
          </a:graphic>
        </xdr:graphicFrame>
      </mc:Choice>
      <mc:Fallback xmlns="">
        <xdr:sp macro="" textlink="">
          <xdr:nvSpPr>
            <xdr:cNvPr id="0" name=""/>
            <xdr:cNvSpPr>
              <a:spLocks noTextEdit="1"/>
            </xdr:cNvSpPr>
          </xdr:nvSpPr>
          <xdr:spPr>
            <a:xfrm>
              <a:off x="7762875" y="4391025"/>
              <a:ext cx="3486150" cy="5334000"/>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10</xdr:col>
      <xdr:colOff>152400</xdr:colOff>
      <xdr:row>7</xdr:row>
      <xdr:rowOff>104775</xdr:rowOff>
    </xdr:from>
    <xdr:to>
      <xdr:col>10</xdr:col>
      <xdr:colOff>1981200</xdr:colOff>
      <xdr:row>21</xdr:row>
      <xdr:rowOff>180975</xdr:rowOff>
    </xdr:to>
    <mc:AlternateContent xmlns:mc="http://schemas.openxmlformats.org/markup-compatibility/2006" xmlns:sle15="http://schemas.microsoft.com/office/drawing/2012/slicer">
      <mc:Choice Requires="sle15">
        <xdr:graphicFrame macro="">
          <xdr:nvGraphicFramePr>
            <xdr:cNvPr id="4" name="ASTM-Version">
              <a:extLst>
                <a:ext uri="{FF2B5EF4-FFF2-40B4-BE49-F238E27FC236}">
                  <a16:creationId xmlns:a16="http://schemas.microsoft.com/office/drawing/2014/main" id="{974221DE-5146-2DBC-950A-42CF4F853F7B}"/>
                </a:ext>
              </a:extLst>
            </xdr:cNvPr>
            <xdr:cNvGraphicFramePr>
              <a:graphicFrameLocks/>
            </xdr:cNvGraphicFramePr>
          </xdr:nvGraphicFramePr>
          <xdr:xfrm>
            <a:off x="0" y="0"/>
            <a:ext cx="0" cy="0"/>
          </xdr:xfrm>
          <a:graphic>
            <a:graphicData uri="http://schemas.microsoft.com/office/drawing/2010/slicer">
              <sle:slicer xmlns:sle="http://schemas.microsoft.com/office/drawing/2010/slicer" name="ASTM-Version"/>
            </a:graphicData>
          </a:graphic>
        </xdr:graphicFrame>
      </mc:Choice>
      <mc:Fallback xmlns="">
        <xdr:sp macro="" textlink="">
          <xdr:nvSpPr>
            <xdr:cNvPr id="0" name=""/>
            <xdr:cNvSpPr>
              <a:spLocks noTextEdit="1"/>
            </xdr:cNvSpPr>
          </xdr:nvSpPr>
          <xdr:spPr>
            <a:xfrm>
              <a:off x="3886200" y="1438275"/>
              <a:ext cx="1828800" cy="2743200"/>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xdr:from>
      <xdr:col>0</xdr:col>
      <xdr:colOff>0</xdr:colOff>
      <xdr:row>0</xdr:row>
      <xdr:rowOff>0</xdr:rowOff>
    </xdr:from>
    <xdr:to>
      <xdr:col>26</xdr:col>
      <xdr:colOff>1038225</xdr:colOff>
      <xdr:row>5</xdr:row>
      <xdr:rowOff>95250</xdr:rowOff>
    </xdr:to>
    <xdr:sp macro="" textlink="">
      <xdr:nvSpPr>
        <xdr:cNvPr id="6" name="TextBox 5">
          <a:extLst>
            <a:ext uri="{FF2B5EF4-FFF2-40B4-BE49-F238E27FC236}">
              <a16:creationId xmlns:a16="http://schemas.microsoft.com/office/drawing/2014/main" id="{67B3D846-1DD8-8B00-FBFA-271506CD6ED5}"/>
            </a:ext>
          </a:extLst>
        </xdr:cNvPr>
        <xdr:cNvSpPr txBox="1"/>
      </xdr:nvSpPr>
      <xdr:spPr>
        <a:xfrm>
          <a:off x="0" y="0"/>
          <a:ext cx="8420100" cy="1047750"/>
        </a:xfrm>
        <a:prstGeom prst="rect">
          <a:avLst/>
        </a:prstGeom>
        <a:solidFill>
          <a:schemeClr val="accent2"/>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5400"/>
            <a:t>Step 2: Test Selection</a:t>
          </a:r>
        </a:p>
      </xdr:txBody>
    </xdr:sp>
    <xdr:clientData/>
  </xdr:twoCellAnchor>
  <xdr:twoCellAnchor editAs="absolute">
    <xdr:from>
      <xdr:col>10</xdr:col>
      <xdr:colOff>2143125</xdr:colOff>
      <xdr:row>7</xdr:row>
      <xdr:rowOff>114300</xdr:rowOff>
    </xdr:from>
    <xdr:to>
      <xdr:col>26</xdr:col>
      <xdr:colOff>66675</xdr:colOff>
      <xdr:row>22</xdr:row>
      <xdr:rowOff>0</xdr:rowOff>
    </xdr:to>
    <mc:AlternateContent xmlns:mc="http://schemas.openxmlformats.org/markup-compatibility/2006" xmlns:sle15="http://schemas.microsoft.com/office/drawing/2012/slicer">
      <mc:Choice Requires="sle15">
        <xdr:graphicFrame macro="">
          <xdr:nvGraphicFramePr>
            <xdr:cNvPr id="8" name="Attribute Filter">
              <a:extLst>
                <a:ext uri="{FF2B5EF4-FFF2-40B4-BE49-F238E27FC236}">
                  <a16:creationId xmlns:a16="http://schemas.microsoft.com/office/drawing/2014/main" id="{D1CB7837-F5B8-825B-92E4-DC2337C26D73}"/>
                </a:ext>
              </a:extLst>
            </xdr:cNvPr>
            <xdr:cNvGraphicFramePr>
              <a:graphicFrameLocks/>
            </xdr:cNvGraphicFramePr>
          </xdr:nvGraphicFramePr>
          <xdr:xfrm>
            <a:off x="0" y="0"/>
            <a:ext cx="0" cy="0"/>
          </xdr:xfrm>
          <a:graphic>
            <a:graphicData uri="http://schemas.microsoft.com/office/drawing/2010/slicer">
              <sle:slicer xmlns:sle="http://schemas.microsoft.com/office/drawing/2010/slicer" name="Attribute Filter"/>
            </a:graphicData>
          </a:graphic>
        </xdr:graphicFrame>
      </mc:Choice>
      <mc:Fallback xmlns="">
        <xdr:sp macro="" textlink="">
          <xdr:nvSpPr>
            <xdr:cNvPr id="0" name=""/>
            <xdr:cNvSpPr>
              <a:spLocks noTextEdit="1"/>
            </xdr:cNvSpPr>
          </xdr:nvSpPr>
          <xdr:spPr>
            <a:xfrm>
              <a:off x="5876925" y="1447800"/>
              <a:ext cx="1828800" cy="2743200"/>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2</xdr:col>
      <xdr:colOff>1152525</xdr:colOff>
      <xdr:row>7</xdr:row>
      <xdr:rowOff>104775</xdr:rowOff>
    </xdr:from>
    <xdr:to>
      <xdr:col>10</xdr:col>
      <xdr:colOff>38100</xdr:colOff>
      <xdr:row>21</xdr:row>
      <xdr:rowOff>180975</xdr:rowOff>
    </xdr:to>
    <mc:AlternateContent xmlns:mc="http://schemas.openxmlformats.org/markup-compatibility/2006" xmlns:sle15="http://schemas.microsoft.com/office/drawing/2012/slicer">
      <mc:Choice Requires="sle15">
        <xdr:graphicFrame macro="">
          <xdr:nvGraphicFramePr>
            <xdr:cNvPr id="9" name="Test Category">
              <a:extLst>
                <a:ext uri="{FF2B5EF4-FFF2-40B4-BE49-F238E27FC236}">
                  <a16:creationId xmlns:a16="http://schemas.microsoft.com/office/drawing/2014/main" id="{F58396A8-F02D-831C-AF26-51C867C0B0B7}"/>
                </a:ext>
              </a:extLst>
            </xdr:cNvPr>
            <xdr:cNvGraphicFramePr>
              <a:graphicFrameLocks/>
            </xdr:cNvGraphicFramePr>
          </xdr:nvGraphicFramePr>
          <xdr:xfrm>
            <a:off x="0" y="0"/>
            <a:ext cx="0" cy="0"/>
          </xdr:xfrm>
          <a:graphic>
            <a:graphicData uri="http://schemas.microsoft.com/office/drawing/2010/slicer">
              <sle:slicer xmlns:sle="http://schemas.microsoft.com/office/drawing/2010/slicer" name="Test Category"/>
            </a:graphicData>
          </a:graphic>
        </xdr:graphicFrame>
      </mc:Choice>
      <mc:Fallback xmlns="">
        <xdr:sp macro="" textlink="">
          <xdr:nvSpPr>
            <xdr:cNvPr id="0" name=""/>
            <xdr:cNvSpPr>
              <a:spLocks noTextEdit="1"/>
            </xdr:cNvSpPr>
          </xdr:nvSpPr>
          <xdr:spPr>
            <a:xfrm>
              <a:off x="1943100" y="1438275"/>
              <a:ext cx="1828800" cy="2743200"/>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xdr:twoCellAnchor editAs="absolute">
    <xdr:from>
      <xdr:col>20</xdr:col>
      <xdr:colOff>621030</xdr:colOff>
      <xdr:row>0</xdr:row>
      <xdr:rowOff>152400</xdr:rowOff>
    </xdr:from>
    <xdr:to>
      <xdr:col>22</xdr:col>
      <xdr:colOff>1003935</xdr:colOff>
      <xdr:row>11</xdr:row>
      <xdr:rowOff>76200</xdr:rowOff>
    </xdr:to>
    <mc:AlternateContent xmlns:mc="http://schemas.openxmlformats.org/markup-compatibility/2006" xmlns:sle15="http://schemas.microsoft.com/office/drawing/2012/slicer">
      <mc:Choice Requires="sle15">
        <xdr:graphicFrame macro="">
          <xdr:nvGraphicFramePr>
            <xdr:cNvPr id="5" name="Test Name 1">
              <a:extLst>
                <a:ext uri="{FF2B5EF4-FFF2-40B4-BE49-F238E27FC236}">
                  <a16:creationId xmlns:a16="http://schemas.microsoft.com/office/drawing/2014/main" id="{4D88F4A7-15B9-FA72-CF64-3D4CC9EC3409}"/>
                </a:ext>
              </a:extLst>
            </xdr:cNvPr>
            <xdr:cNvGraphicFramePr>
              <a:graphicFrameLocks/>
            </xdr:cNvGraphicFramePr>
          </xdr:nvGraphicFramePr>
          <xdr:xfrm>
            <a:off x="0" y="0"/>
            <a:ext cx="0" cy="0"/>
          </xdr:xfrm>
          <a:graphic>
            <a:graphicData uri="http://schemas.microsoft.com/office/drawing/2010/slicer">
              <sle:slicer xmlns:sle="http://schemas.microsoft.com/office/drawing/2010/slicer" name="Test Name 1"/>
            </a:graphicData>
          </a:graphic>
        </xdr:graphicFrame>
      </mc:Choice>
      <mc:Fallback xmlns="">
        <xdr:sp macro="" textlink="">
          <xdr:nvSpPr>
            <xdr:cNvPr id="0" name=""/>
            <xdr:cNvSpPr>
              <a:spLocks noTextEdit="1"/>
            </xdr:cNvSpPr>
          </xdr:nvSpPr>
          <xdr:spPr>
            <a:xfrm>
              <a:off x="21652230" y="152400"/>
              <a:ext cx="2697480" cy="2667000"/>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18</xdr:col>
      <xdr:colOff>689610</xdr:colOff>
      <xdr:row>0</xdr:row>
      <xdr:rowOff>161925</xdr:rowOff>
    </xdr:from>
    <xdr:to>
      <xdr:col>20</xdr:col>
      <xdr:colOff>491490</xdr:colOff>
      <xdr:row>11</xdr:row>
      <xdr:rowOff>85725</xdr:rowOff>
    </xdr:to>
    <mc:AlternateContent xmlns:mc="http://schemas.openxmlformats.org/markup-compatibility/2006" xmlns:sle15="http://schemas.microsoft.com/office/drawing/2012/slicer">
      <mc:Choice Requires="sle15">
        <xdr:graphicFrame macro="">
          <xdr:nvGraphicFramePr>
            <xdr:cNvPr id="6" name="Sample ID">
              <a:extLst>
                <a:ext uri="{FF2B5EF4-FFF2-40B4-BE49-F238E27FC236}">
                  <a16:creationId xmlns:a16="http://schemas.microsoft.com/office/drawing/2014/main" id="{376B54C1-DBF6-350D-E251-928EB213BF71}"/>
                </a:ext>
              </a:extLst>
            </xdr:cNvPr>
            <xdr:cNvGraphicFramePr>
              <a:graphicFrameLocks/>
            </xdr:cNvGraphicFramePr>
          </xdr:nvGraphicFramePr>
          <xdr:xfrm>
            <a:off x="0" y="0"/>
            <a:ext cx="0" cy="0"/>
          </xdr:xfrm>
          <a:graphic>
            <a:graphicData uri="http://schemas.microsoft.com/office/drawing/2010/slicer">
              <sle:slicer xmlns:sle="http://schemas.microsoft.com/office/drawing/2010/slicer" name="Sample ID"/>
            </a:graphicData>
          </a:graphic>
        </xdr:graphicFrame>
      </mc:Choice>
      <mc:Fallback xmlns="">
        <xdr:sp macro="" textlink="">
          <xdr:nvSpPr>
            <xdr:cNvPr id="0" name=""/>
            <xdr:cNvSpPr>
              <a:spLocks noTextEdit="1"/>
            </xdr:cNvSpPr>
          </xdr:nvSpPr>
          <xdr:spPr>
            <a:xfrm>
              <a:off x="19634835" y="161925"/>
              <a:ext cx="1887855" cy="2667000"/>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xdr:from>
      <xdr:col>0</xdr:col>
      <xdr:colOff>0</xdr:colOff>
      <xdr:row>0</xdr:row>
      <xdr:rowOff>0</xdr:rowOff>
    </xdr:from>
    <xdr:to>
      <xdr:col>9</xdr:col>
      <xdr:colOff>723900</xdr:colOff>
      <xdr:row>2</xdr:row>
      <xdr:rowOff>19050</xdr:rowOff>
    </xdr:to>
    <xdr:sp macro="" textlink="">
      <xdr:nvSpPr>
        <xdr:cNvPr id="7" name="TextBox 6">
          <a:extLst>
            <a:ext uri="{FF2B5EF4-FFF2-40B4-BE49-F238E27FC236}">
              <a16:creationId xmlns:a16="http://schemas.microsoft.com/office/drawing/2014/main" id="{307CDD70-4275-49B6-93A0-A654872534A3}"/>
            </a:ext>
          </a:extLst>
        </xdr:cNvPr>
        <xdr:cNvSpPr txBox="1"/>
      </xdr:nvSpPr>
      <xdr:spPr>
        <a:xfrm>
          <a:off x="0" y="0"/>
          <a:ext cx="8629650" cy="1047750"/>
        </a:xfrm>
        <a:prstGeom prst="rect">
          <a:avLst/>
        </a:prstGeom>
        <a:solidFill>
          <a:schemeClr val="accent2"/>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5400"/>
            <a:t>Step 3: Create Your Test Grid</a:t>
          </a:r>
        </a:p>
      </xdr:txBody>
    </xdr:sp>
    <xdr:clientData/>
  </xdr:twoCellAnchor>
  <mc:AlternateContent xmlns:mc="http://schemas.openxmlformats.org/markup-compatibility/2006">
    <mc:Choice xmlns:a14="http://schemas.microsoft.com/office/drawing/2010/main" Requires="a14">
      <xdr:twoCellAnchor>
        <xdr:from>
          <xdr:col>0</xdr:col>
          <xdr:colOff>0</xdr:colOff>
          <xdr:row>3</xdr:row>
          <xdr:rowOff>171450</xdr:rowOff>
        </xdr:from>
        <xdr:to>
          <xdr:col>9</xdr:col>
          <xdr:colOff>723900</xdr:colOff>
          <xdr:row>9</xdr:row>
          <xdr:rowOff>9525</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300-00000304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2800" b="0" i="0" u="none" strike="noStrike" baseline="0">
                  <a:solidFill>
                    <a:srgbClr val="000000"/>
                  </a:solidFill>
                  <a:latin typeface="Aptos Narrow"/>
                </a:rPr>
                <a:t>Make My Test Grid</a:t>
              </a:r>
            </a:p>
          </xdr:txBody>
        </xdr:sp>
        <xdr:clientData fPrintsWithSheet="0"/>
      </xdr:twoCellAnchor>
    </mc:Choice>
    <mc:Fallback/>
  </mc:AlternateContent>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3" connectionId="8" xr16:uid="{7A97C944-99FE-480D-8E10-868D5D81FB20}" autoFormatId="16" applyNumberFormats="0" applyBorderFormats="0" applyFontFormats="0" applyPatternFormats="0" applyAlignmentFormats="0" applyWidthHeightFormats="0">
  <queryTableRefresh nextId="30" unboundColumnsRight="1">
    <queryTableFields count="17">
      <queryTableField id="1" name="Brand" tableColumnId="1"/>
      <queryTableField id="2" name="Product" tableColumnId="2"/>
      <queryTableField id="3" name="Application" tableColumnId="3"/>
      <queryTableField id="4" name="Performance" tableColumnId="4"/>
      <queryTableField id="5" name="Sheen" tableColumnId="5"/>
      <queryTableField id="6" name="Color" tableColumnId="6"/>
      <queryTableField id="7" name="Base" tableColumnId="7"/>
      <queryTableField id="20" name="Base Sort" tableColumnId="8"/>
      <queryTableField id="21" name="Purchase Year" tableColumnId="9"/>
      <queryTableField id="10" name="Unique Product Name" tableColumnId="10"/>
      <queryTableField id="22" name="Duplicate?" tableColumnId="11"/>
      <queryTableField id="23" name="Product ID" tableColumnId="13"/>
      <queryTableField id="24" name="Sort Position" tableColumnId="14"/>
      <queryTableField id="25" name="WPG" tableColumnId="15"/>
      <queryTableField id="26" name="Weight Solids" tableColumnId="16"/>
      <queryTableField id="27" name="Type " tableColumnId="17"/>
      <queryTableField id="12" dataBound="0" tableColumnId="12"/>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2" xr16:uid="{8CEF137F-E4C6-4A70-B9E9-5B30580769D7}" autoFormatId="16" applyNumberFormats="0" applyBorderFormats="0" applyFontFormats="0" applyPatternFormats="0" applyAlignmentFormats="0" applyWidthHeightFormats="0">
  <queryTableRefresh nextId="55" unboundColumnsRight="1">
    <queryTableFields count="26">
      <queryTableField id="1" name="Test ID" tableColumnId="1"/>
      <queryTableField id="37" name="Hierarchy ID" tableColumnId="3"/>
      <queryTableField id="2" name="Test Parent Category" tableColumnId="2"/>
      <queryTableField id="38" name="Test Category" tableColumnId="4"/>
      <queryTableField id="39" name="Aggregation Type" tableColumnId="9"/>
      <queryTableField id="40" name="Level Attribute" tableColumnId="15"/>
      <queryTableField id="51" name="Attribute Filter" tableColumnId="25"/>
      <queryTableField id="52" name="Chart Category Filter" tableColumnId="26"/>
      <queryTableField id="33" name="Hierarchy Level" tableColumnId="13"/>
      <queryTableField id="34" name="Number of Levels" tableColumnId="14"/>
      <queryTableField id="5" name="Test Name" tableColumnId="5"/>
      <queryTableField id="41" name="Chart Name" tableColumnId="22"/>
      <queryTableField id="24" name="Data Type" tableColumnId="10"/>
      <queryTableField id="29" name="ASTM-Version" tableColumnId="6"/>
      <queryTableField id="42" name="Last Revision Date" tableColumnId="23"/>
      <queryTableField id="43" name="Is " tableColumnId="24"/>
      <queryTableField id="30" name="Date of Test" tableColumnId="7"/>
      <queryTableField id="16" name="Operator iD" tableColumnId="16"/>
      <queryTableField id="17" name="Lab Location" tableColumnId="17"/>
      <queryTableField id="18" name="Lab Temperature" tableColumnId="18"/>
      <queryTableField id="19" name="Lab Humidity" tableColumnId="19"/>
      <queryTableField id="20" name="Equipment ID" tableColumnId="20"/>
      <queryTableField id="21" name="Oven ID" tableColumnId="21"/>
      <queryTableField id="25" name="Num Raw Test Data" tableColumnId="11"/>
      <queryTableField id="26" name="Text Raw Test Data" tableColumnId="12"/>
      <queryTableField id="8" dataBound="0" tableColumnId="8"/>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5" xr16:uid="{49548A0B-DB51-4248-8AE0-055CEE04586F}" autoFormatId="16" applyNumberFormats="0" applyBorderFormats="0" applyFontFormats="0" applyPatternFormats="0" applyAlignmentFormats="0" applyWidthHeightFormats="0">
  <queryTableRefresh nextId="59" unboundColumnsRight="3">
    <queryTableFields count="25">
      <queryTableField id="1" name="PDL ID" tableColumnId="1"/>
      <queryTableField id="2" name="Sample ID" tableColumnId="2"/>
      <queryTableField id="4" name="Sheen" tableColumnId="4"/>
      <queryTableField id="5" name="Color" tableColumnId="5"/>
      <queryTableField id="24" name="Sort Position" tableColumnId="19"/>
      <queryTableField id="6" name="Base" tableColumnId="6"/>
      <queryTableField id="3" name="Unique Product Name" tableColumnId="3"/>
      <queryTableField id="7" name="Product ID" tableColumnId="7"/>
      <queryTableField id="8" name="Test ID" tableColumnId="8"/>
      <queryTableField id="9" name="Test Name" tableColumnId="9"/>
      <queryTableField id="30" name="Data Type" tableColumnId="20"/>
      <queryTableField id="32" name="ASTM-Version" tableColumnId="22"/>
      <queryTableField id="46" name="Date of Test" tableColumnId="10"/>
      <queryTableField id="47" name="Operator iD" tableColumnId="11"/>
      <queryTableField id="48" name="Lab Location" tableColumnId="12"/>
      <queryTableField id="49" name="Lab Temperature" tableColumnId="13"/>
      <queryTableField id="50" name="Lab Humidity" tableColumnId="14"/>
      <queryTableField id="51" name="Equipment ID" tableColumnId="15"/>
      <queryTableField id="52" name="Oven ID" tableColumnId="16"/>
      <queryTableField id="53" name="Num Raw Test Data" tableColumnId="17"/>
      <queryTableField id="54" name="Text Raw Test Data" tableColumnId="18"/>
      <queryTableField id="55" name="Merged" tableColumnId="21"/>
      <queryTableField id="56" dataBound="0" tableColumnId="23"/>
      <queryTableField id="57" dataBound="0" tableColumnId="24"/>
      <queryTableField id="58" dataBound="0" tableColumnId="25"/>
    </queryTableFields>
    <queryTableDeletedFields count="10">
      <deletedField name="Date of Test"/>
      <deletedField name="Operator iD"/>
      <deletedField name="Lab Location"/>
      <deletedField name="Lab Temperature"/>
      <deletedField name="Lab Humidity"/>
      <deletedField name="Equipment ID"/>
      <deletedField name="Oven ID"/>
      <deletedField name="Num Raw Test Data"/>
      <deletedField name="Text Raw Test Data"/>
      <deletedField name="Merged"/>
    </queryTableDeleted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1" xr16:uid="{26389108-9293-4C89-B257-2CAEE647A071}" autoFormatId="16" applyNumberFormats="0" applyBorderFormats="0" applyFontFormats="0" applyPatternFormats="0" applyAlignmentFormats="0" applyWidthHeightFormats="0">
  <queryTableRefresh nextId="16" unboundColumnsRight="1">
    <queryTableFields count="15">
      <queryTableField id="1" name="Test ID" tableColumnId="1"/>
      <queryTableField id="2" name="Test Parent Category" tableColumnId="2"/>
      <queryTableField id="3" name="Test Name" tableColumnId="3"/>
      <queryTableField id="4" name="Minimum Interval Value" tableColumnId="4"/>
      <queryTableField id="5" name="Maximum Interval Value" tableColumnId="5"/>
      <queryTableField id="6" name="Non Interval Value" tableColumnId="6"/>
      <queryTableField id="7" name="ASTM / Spec Rating" tableColumnId="7"/>
      <queryTableField id="8" name="TextNumeric Benchmark Rating" tableColumnId="8"/>
      <queryTableField id="9" name="Benchmark Rating" tableColumnId="9"/>
      <queryTableField id="10" name="Performance" tableColumnId="10"/>
      <queryTableField id="11" name="Column11" tableColumnId="11"/>
      <queryTableField id="12" name="Column12" tableColumnId="12"/>
      <queryTableField id="13" name="Column13" tableColumnId="13"/>
      <queryTableField id="14" name="Column14" tableColumnId="14"/>
      <queryTableField id="15" dataBound="0" tableColumnId="15"/>
    </queryTableFields>
  </queryTableRefresh>
  <extLst>
    <ext xmlns:x15="http://schemas.microsoft.com/office/spreadsheetml/2010/11/main" uri="{883FBD77-0823-4a55-B5E3-86C4891E6966}">
      <x15:queryTable sourceDataName="Query - dTestRatings"/>
    </ext>
  </extLst>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est_Parent_Category" xr10:uid="{30191378-4E8E-4826-96A0-FEC8F4F227AC}" sourceName="Test Parent Category">
  <extLst>
    <x:ext xmlns:x15="http://schemas.microsoft.com/office/spreadsheetml/2010/11/main" uri="{2F2917AC-EB37-4324-AD4E-5DD8C200BD13}">
      <x15:tableSlicerCache tableId="22" column="2"/>
    </x:ext>
    <x:ext xmlns:x15="http://schemas.microsoft.com/office/spreadsheetml/2010/11/main" uri="{470722E0-AACD-4C17-9CDC-17EF765DBC7E}">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est_Name" xr10:uid="{8DDCD522-DAD1-4F42-8ACA-02F02E7C4BCD}" sourceName="Test Name">
  <extLst>
    <x:ext xmlns:x15="http://schemas.microsoft.com/office/spreadsheetml/2010/11/main" uri="{2F2917AC-EB37-4324-AD4E-5DD8C200BD13}">
      <x15:tableSlicerCache tableId="22" column="5"/>
    </x:ext>
    <x:ext xmlns:x15="http://schemas.microsoft.com/office/spreadsheetml/2010/11/main" uri="{470722E0-AACD-4C17-9CDC-17EF765DBC7E}">
      <x15:slicerCacheHideItemsWithNoData/>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est_Name1" xr10:uid="{D848E0F4-D639-4366-9D6D-F19289D91BD3}" sourceName="Test Name">
  <extLst>
    <x:ext xmlns:x15="http://schemas.microsoft.com/office/spreadsheetml/2010/11/main" uri="{2F2917AC-EB37-4324-AD4E-5DD8C200BD13}">
      <x15:tableSlicerCache tableId="23" column="9"/>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Brand" xr10:uid="{C93D2939-3684-4F48-B006-CC4CB36D666E}" sourceName="Brand">
  <extLst>
    <x:ext xmlns:x15="http://schemas.microsoft.com/office/spreadsheetml/2010/11/main" uri="{2F2917AC-EB37-4324-AD4E-5DD8C200BD13}">
      <x15:tableSlicerCache tableId="2" column="1"/>
    </x:ext>
  </extLst>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Unique_Product_Name1" xr10:uid="{3109E1BA-3593-4F16-AECE-0A6EB4A57DFC}" sourceName="Unique Product Name">
  <extLst>
    <x:ext xmlns:x15="http://schemas.microsoft.com/office/spreadsheetml/2010/11/main" uri="{2F2917AC-EB37-4324-AD4E-5DD8C200BD13}">
      <x15:tableSlicerCache tableId="2" column="10"/>
    </x:ext>
    <x:ext xmlns:x15="http://schemas.microsoft.com/office/spreadsheetml/2010/11/main" uri="{470722E0-AACD-4C17-9CDC-17EF765DBC7E}">
      <x15:slicerCacheHideItemsWithNoData/>
    </x:ext>
  </extLst>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olor" xr10:uid="{CE7F2091-4A51-4298-9F23-343F49B5912C}" sourceName="Color">
  <extLst>
    <x:ext xmlns:x15="http://schemas.microsoft.com/office/spreadsheetml/2010/11/main" uri="{2F2917AC-EB37-4324-AD4E-5DD8C200BD13}">
      <x15:tableSlicerCache tableId="2" column="6"/>
    </x:ext>
  </extLst>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STM_Version" xr10:uid="{74264E54-D449-470C-A2FB-9B8C4B38EF63}" sourceName="ASTM-Version">
  <extLst>
    <x:ext xmlns:x15="http://schemas.microsoft.com/office/spreadsheetml/2010/11/main" uri="{2F2917AC-EB37-4324-AD4E-5DD8C200BD13}">
      <x15:tableSlicerCache tableId="22" column="6"/>
    </x:ext>
    <x:ext xmlns:x15="http://schemas.microsoft.com/office/spreadsheetml/2010/11/main" uri="{470722E0-AACD-4C17-9CDC-17EF765DBC7E}">
      <x15:slicerCacheHideItemsWithNoData/>
    </x:ext>
  </extLst>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heen" xr10:uid="{014D5E13-E18C-4E88-BD72-1CE885C93597}" sourceName="Sheen">
  <extLst>
    <x:ext xmlns:x15="http://schemas.microsoft.com/office/spreadsheetml/2010/11/main" uri="{2F2917AC-EB37-4324-AD4E-5DD8C200BD13}">
      <x15:tableSlicerCache tableId="2" column="5"/>
    </x:ext>
  </extLst>
</slicerCacheDefinition>
</file>

<file path=xl/slicerCaches/slicerCache9.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ample_ID" xr10:uid="{C69B6628-A53C-40DE-B083-EB71FF7C0199}" sourceName="Sample ID">
  <extLst>
    <x:ext xmlns:x15="http://schemas.microsoft.com/office/spreadsheetml/2010/11/main" uri="{2F2917AC-EB37-4324-AD4E-5DD8C200BD13}">
      <x15:tableSlicerCache tableId="23" column="2"/>
    </x:ext>
  </extLst>
</slicerCacheDefinition>
</file>

<file path=xl/slicerCaches/slicerCache10.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pplication" xr10:uid="{1BF88D63-0E49-400A-8C21-8EB3F13973B0}" sourceName="Application">
  <extLst>
    <x:ext xmlns:x15="http://schemas.microsoft.com/office/spreadsheetml/2010/11/main" uri="{2F2917AC-EB37-4324-AD4E-5DD8C200BD13}">
      <x15:tableSlicerCache tableId="2" column="3"/>
    </x:ext>
  </extLst>
</slicerCacheDefinition>
</file>

<file path=xl/slicerCaches/slicerCache1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erformance" xr10:uid="{14AAD2B7-4B0D-41F0-8480-27D4810C9943}" sourceName="Performance">
  <extLst>
    <x:ext xmlns:x15="http://schemas.microsoft.com/office/spreadsheetml/2010/11/main" uri="{2F2917AC-EB37-4324-AD4E-5DD8C200BD13}">
      <x15:tableSlicerCache tableId="2" column="4"/>
    </x:ext>
  </extLst>
</slicerCacheDefinition>
</file>

<file path=xl/slicerCaches/slicerCache1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ttribute_Filter" xr10:uid="{326FFF43-EE1D-4485-9581-5E53DE71FC13}" sourceName="Attribute Filter">
  <extLst>
    <x:ext xmlns:x15="http://schemas.microsoft.com/office/spreadsheetml/2010/11/main" uri="{2F2917AC-EB37-4324-AD4E-5DD8C200BD13}">
      <x15:tableSlicerCache tableId="22" column="25"/>
    </x:ext>
    <x:ext xmlns:x15="http://schemas.microsoft.com/office/spreadsheetml/2010/11/main" uri="{470722E0-AACD-4C17-9CDC-17EF765DBC7E}">
      <x15:slicerCacheHideItemsWithNoData/>
    </x:ext>
  </extLst>
</slicerCacheDefinition>
</file>

<file path=xl/slicerCaches/slicerCache1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est_Category" xr10:uid="{992652C8-ABCB-4D41-A1C4-87815C348EDD}" sourceName="Test Category">
  <extLst>
    <x:ext xmlns:x15="http://schemas.microsoft.com/office/spreadsheetml/2010/11/main" uri="{2F2917AC-EB37-4324-AD4E-5DD8C200BD13}">
      <x15:tableSlicerCache tableId="22" column="4"/>
    </x:ext>
    <x:ext xmlns:x15="http://schemas.microsoft.com/office/spreadsheetml/2010/11/main" uri="{470722E0-AACD-4C17-9CDC-17EF765DBC7E}">
      <x15:slicerCacheHideItemsWithNoData/>
    </x:ext>
  </extLst>
</slicerCacheDefinition>
</file>

<file path=xl/slicerCaches/slicerCache1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urchase_Year" xr10:uid="{E80D0EBA-FEBC-4635-B874-023844036F86}" sourceName="Purchase Year">
  <extLst>
    <x:ext xmlns:x15="http://schemas.microsoft.com/office/spreadsheetml/2010/11/main" uri="{2F2917AC-EB37-4324-AD4E-5DD8C200BD13}">
      <x15:tableSlicerCache tableId="2" column="9"/>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Brand" xr10:uid="{5CC1BB86-833D-4C01-9AD2-1DF0614186FB}" cache="Slicer_Brand" caption="Brand" style="SlicerStyleLight2" rowHeight="257175"/>
  <slicer name="Unique Product Name 1" xr10:uid="{730ADA4B-35A2-48A0-94BF-3B5355116ED9}" cache="Slicer_Unique_Product_Name1" caption="Unique Product Name" style="SlicerStyleLight2" rowHeight="257175"/>
  <slicer name="Color" xr10:uid="{812E39AF-7CC3-4AA9-833E-56FEFD381AEE}" cache="Slicer_Color" caption="Color" style="SlicerStyleLight2" rowHeight="257175"/>
  <slicer name="Sheen" xr10:uid="{60059E0E-E59B-4787-A865-9B2C510D2D59}" cache="Slicer_Sheen" caption="Sheen" style="SlicerStyleLight2" rowHeight="257175"/>
  <slicer name="Application" xr10:uid="{FBA3EBCE-7051-48AA-9BCB-EE6F40E03845}" cache="Slicer_Application" caption="Application" style="SlicerStyleLight2" rowHeight="257175"/>
  <slicer name="Performance" xr10:uid="{46F5F837-C911-42E2-B9F4-ACC4CB4ECD42}" cache="Slicer_Performance" caption="Performance" style="SlicerStyleLight2" rowHeight="257175"/>
  <slicer name="Purchase Year" xr10:uid="{156B1C97-58EB-4E2C-8DC4-75FEAB31C828}" cache="Slicer_Purchase_Year" caption="Purchase Year" style="SlicerStyleLight2" rowHeight="257175"/>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Test Parent Category" xr10:uid="{1C51ACE2-AA45-433A-8453-988D9430E460}" cache="Slicer_Test_Parent_Category" caption="Test Parent Category" style="SlicerStyleLight2" rowHeight="257175"/>
  <slicer name="Test Name" xr10:uid="{30D718F5-F418-40FE-8370-B34B18904D76}" cache="Slicer_Test_Name" caption="Test Name" style="SlicerStyleLight2" rowHeight="257175"/>
  <slicer name="ASTM-Version" xr10:uid="{68ADDFDD-6277-4923-BE7B-834AFAB0B1CF}" cache="Slicer_ASTM_Version" caption="ASTM-Version" style="SlicerStyleLight2" rowHeight="257175"/>
  <slicer name="Attribute Filter" xr10:uid="{BF67EEEF-D2BF-420A-BE95-9789A315359B}" cache="Slicer_Attribute_Filter" caption="Attribute Filter" style="SlicerStyleLight2" rowHeight="257175"/>
  <slicer name="Test Category" xr10:uid="{6C082C47-E935-4621-9419-015FEACE4A6C}" cache="Slicer_Test_Category" caption="Test Category" style="SlicerStyleLight2" rowHeight="257175"/>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Test Name 1" xr10:uid="{D645270E-5996-452D-8804-BA2B7ADDC065}" cache="Slicer_Test_Name1" caption="Test Name" style="SlicerStyleLight2" rowHeight="257175"/>
  <slicer name="Sample ID" xr10:uid="{6F385880-4697-48CD-AB0F-96FD15496698}" cache="Slicer_Sample_ID" caption="Sample ID" style="SlicerStyleLight2" rowHeight="257175"/>
</slicers>
</file>

<file path=xl/tables/_rels/table2.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0F86E79C-60C5-4914-B621-7971689131D2}" name="Table19" displayName="Table19" ref="B8:D9" totalsRowShown="0" headerRowDxfId="56" dataDxfId="55">
  <autoFilter ref="B8:D9" xr:uid="{0F86E79C-60C5-4914-B621-7971689131D2}"/>
  <tableColumns count="3">
    <tableColumn id="1" xr3:uid="{B517E837-5582-4D34-9DBE-FE81EF0BD58C}" name="PDL ID" dataDxfId="54"/>
    <tableColumn id="2" xr3:uid="{3C693DAE-72FC-47ED-9BB1-FBC93628BF62}" name="Bond ID" dataDxfId="53"/>
    <tableColumn id="3" xr3:uid="{A38AC41F-0A48-47D9-971A-2791490DECFB}" name="PDL Category" dataDxfId="52"/>
  </tableColumns>
  <tableStyleInfo name="TableStyleMedium2" showFirstColumn="0" showLastColumn="0" showRowStripes="0"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30BCB49-74F7-4154-9C87-2C93EF4AA566}" name="ProductSelectionGrid" displayName="ProductSelectionGrid" ref="A22:Q48" tableType="queryTable" totalsRowShown="0" dataDxfId="51">
  <autoFilter ref="A22:Q48" xr:uid="{130BCB49-74F7-4154-9C87-2C93EF4AA566}"/>
  <tableColumns count="17">
    <tableColumn id="1" xr3:uid="{A3E15086-C944-47EB-B514-4A3B87DDD9D3}" uniqueName="1" name="Brand" queryTableFieldId="1" dataDxfId="50"/>
    <tableColumn id="2" xr3:uid="{70F3A9DC-6E29-434A-AF7A-F791A019DA61}" uniqueName="2" name="Product" queryTableFieldId="2" dataDxfId="49"/>
    <tableColumn id="3" xr3:uid="{860CB342-F400-4F7A-82B6-D65EDB69EB14}" uniqueName="3" name="Application" queryTableFieldId="3" dataDxfId="48"/>
    <tableColumn id="4" xr3:uid="{4972EFDA-99A6-49F5-BDFF-641F45895EA9}" uniqueName="4" name="Performance" queryTableFieldId="4" dataDxfId="47"/>
    <tableColumn id="5" xr3:uid="{0A9A692F-D1D7-47B2-93F7-FFCEE62BA76E}" uniqueName="5" name="Sheen" queryTableFieldId="5" dataDxfId="46"/>
    <tableColumn id="6" xr3:uid="{84406E3E-87EA-4C29-BF76-743741A71FD6}" uniqueName="6" name="Color" queryTableFieldId="6" dataDxfId="45"/>
    <tableColumn id="7" xr3:uid="{4911D30E-2D4D-4F98-88CA-4950A16F2AC9}" uniqueName="7" name="Base" queryTableFieldId="7" dataDxfId="44"/>
    <tableColumn id="8" xr3:uid="{B2E78EDF-5596-4E02-B01D-B82F3CBCFE9A}" uniqueName="8" name="Base Sort" queryTableFieldId="20" dataDxfId="43"/>
    <tableColumn id="9" xr3:uid="{FCA4B648-6A8A-42CE-B7BE-D2E59B419AEA}" uniqueName="9" name="Purchase Year" queryTableFieldId="21" dataDxfId="42"/>
    <tableColumn id="10" xr3:uid="{AAA08D89-B19B-4215-BA93-177392466127}" uniqueName="10" name="Unique Product Name" queryTableFieldId="10" dataDxfId="41"/>
    <tableColumn id="11" xr3:uid="{45064D1C-78B9-474D-BC13-1A1C1365E357}" uniqueName="11" name="Duplicate?" queryTableFieldId="22" dataDxfId="40"/>
    <tableColumn id="13" xr3:uid="{9CB60A74-BC60-4494-B2C5-6F9854E77DE2}" uniqueName="13" name="Product ID" queryTableFieldId="23" dataDxfId="39"/>
    <tableColumn id="14" xr3:uid="{563D6A32-252B-4B9D-B38B-5F817229DA0F}" uniqueName="14" name="Sort Position" queryTableFieldId="24" dataDxfId="38"/>
    <tableColumn id="15" xr3:uid="{7391A6DD-60C7-4337-909B-33D145AADA3F}" uniqueName="15" name="WPG" queryTableFieldId="25" dataDxfId="37"/>
    <tableColumn id="16" xr3:uid="{F3748806-77E3-4700-A657-D729CA6862BC}" uniqueName="16" name="Weight Solids" queryTableFieldId="26" dataDxfId="36"/>
    <tableColumn id="17" xr3:uid="{23CF7138-ED6E-4877-A0A4-62E075329642}" uniqueName="17" name="Type " queryTableFieldId="27" dataDxfId="35"/>
    <tableColumn id="12" xr3:uid="{DAF91A9F-EA97-4D6A-A3B3-F9AC756F8C13}" uniqueName="12" name="Visible" queryTableFieldId="12" dataDxfId="34">
      <calculatedColumnFormula>SUBTOTAL(103,ProductSelectionGrid[[#This Row],[Brand]])</calculatedColumnFormula>
    </tableColumn>
  </tableColumns>
  <tableStyleInfo name="TableStyleDark5" showFirstColumn="0" showLastColumn="0" showRowStripes="1" showColumnStripes="1"/>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681E4D50-BEEA-4AC1-8151-61CEA2DAA1DA}" name="dTestIDdirectory" displayName="dTestIDdirectory" ref="A24:Z65" tableType="queryTable" totalsRowShown="0" headerRowDxfId="33" dataDxfId="32">
  <autoFilter ref="A24:Z65" xr:uid="{681E4D50-BEEA-4AC1-8151-61CEA2DAA1DA}">
    <filterColumn colId="2">
      <filters>
        <filter val="Durability"/>
        <filter val="Resistance"/>
      </filters>
    </filterColumn>
    <filterColumn colId="3">
      <filters>
        <filter val="Adhesion"/>
        <filter val="Chemical Resistance"/>
        <filter val="Dry Time"/>
        <filter val="Gradient Hide"/>
        <filter val="Print Resistance"/>
        <filter val="Sag Resistance"/>
      </filters>
    </filterColumn>
    <filterColumn colId="4">
      <filters>
        <filter val="Data"/>
      </filters>
    </filterColumn>
    <filterColumn colId="6">
      <filters>
        <filter val="Average"/>
        <filter val="Burnish Resistance"/>
        <filter val="Chemical 1"/>
        <filter val="Chemical 2"/>
        <filter val="Chemical 3"/>
        <filter val="Chemical 4"/>
        <filter val="Chemical Average"/>
        <filter val="Dry Time"/>
        <filter val="Hydrophilic"/>
        <filter val="Hydrophobic"/>
        <filter val="Print Resistance"/>
        <filter val="Sag Resistance"/>
        <filter val="Thickness"/>
        <filter val="Wood"/>
      </filters>
    </filterColumn>
  </autoFilter>
  <sortState xmlns:xlrd2="http://schemas.microsoft.com/office/spreadsheetml/2017/richdata2" ref="A25:Z65">
    <sortCondition ref="K24:K65"/>
  </sortState>
  <tableColumns count="26">
    <tableColumn id="1" xr3:uid="{6B1AB1C9-F3A8-4BBE-B54C-E25F34A23877}" uniqueName="1" name="Test ID" queryTableFieldId="1" dataDxfId="31"/>
    <tableColumn id="3" xr3:uid="{58B1F4D8-1D1A-45E2-8BEE-A196576B80B0}" uniqueName="3" name="Hierarchy ID" queryTableFieldId="37" dataDxfId="30"/>
    <tableColumn id="2" xr3:uid="{9C0F3064-2AA6-44DB-8CB3-669DAB34A088}" uniqueName="2" name="Test Parent Category" queryTableFieldId="2" dataDxfId="29"/>
    <tableColumn id="4" xr3:uid="{67C86DA4-0B9C-4369-A163-B17C20F3B523}" uniqueName="4" name="Test Category" queryTableFieldId="38" dataDxfId="28"/>
    <tableColumn id="9" xr3:uid="{EA78F546-49A2-4160-9249-CCCC8B9BE68B}" uniqueName="9" name="Aggregation Type" queryTableFieldId="39" dataDxfId="27"/>
    <tableColumn id="15" xr3:uid="{8F463E17-548E-442C-BB28-E756E81C74B0}" uniqueName="15" name="Level Attribute" queryTableFieldId="40" dataDxfId="26"/>
    <tableColumn id="25" xr3:uid="{E64CAE34-35E6-4403-BB90-AA5BA74AC2AF}" uniqueName="25" name="Attribute Filter" queryTableFieldId="51" dataDxfId="25"/>
    <tableColumn id="26" xr3:uid="{37C6AF05-03F9-4D28-A840-4ADC507A0809}" uniqueName="26" name="Chart Category Filter" queryTableFieldId="52" dataDxfId="24"/>
    <tableColumn id="13" xr3:uid="{D3C8A76C-A7C3-46D8-8EAE-D2C514C89441}" uniqueName="13" name="Hierarchy Level" queryTableFieldId="33" dataDxfId="23"/>
    <tableColumn id="14" xr3:uid="{1A560370-9876-4505-97F4-0732B039EACA}" uniqueName="14" name="Number of Levels" queryTableFieldId="34" dataDxfId="22"/>
    <tableColumn id="5" xr3:uid="{2F72026B-A8AE-43C9-BB03-350141FBBD3C}" uniqueName="5" name="Test Name" queryTableFieldId="5" dataDxfId="21"/>
    <tableColumn id="22" xr3:uid="{0BB47FC8-D999-491F-99E4-FE0DC3CF7AE4}" uniqueName="22" name="Chart Name" queryTableFieldId="41" dataDxfId="20"/>
    <tableColumn id="10" xr3:uid="{71998327-B6BB-41BC-91C5-E0F3E91E4582}" uniqueName="10" name="Data Type" queryTableFieldId="24" dataDxfId="19"/>
    <tableColumn id="6" xr3:uid="{8440471E-DDA1-473A-8AB7-3EE9751975FD}" uniqueName="6" name="ASTM-Version" queryTableFieldId="29" dataDxfId="18"/>
    <tableColumn id="23" xr3:uid="{60CE74E9-30D2-4BBD-B3B3-AC520CF5C5FA}" uniqueName="23" name="Last Revision Date" queryTableFieldId="42" dataDxfId="17"/>
    <tableColumn id="24" xr3:uid="{B28F1343-4D79-4E90-8F70-F05F01073917}" uniqueName="24" name="Is " queryTableFieldId="43" dataDxfId="16"/>
    <tableColumn id="7" xr3:uid="{C9BBBBFD-07CE-4AEF-AE50-496BD933948D}" uniqueName="7" name="Date of Test" queryTableFieldId="30" dataDxfId="15"/>
    <tableColumn id="16" xr3:uid="{82948B46-7E10-45EF-B87A-833FFAD05D75}" uniqueName="16" name="Operator iD" queryTableFieldId="16" dataDxfId="14"/>
    <tableColumn id="17" xr3:uid="{A3188E8F-9D8D-4822-B826-DC7A971B0DB0}" uniqueName="17" name="Lab Location" queryTableFieldId="17" dataDxfId="13"/>
    <tableColumn id="18" xr3:uid="{6DE2DC62-48EA-4C82-A94B-6D0FE6733D4C}" uniqueName="18" name="Lab Temperature" queryTableFieldId="18" dataDxfId="12"/>
    <tableColumn id="19" xr3:uid="{AA040A30-096B-429F-803C-85EAB0A501C2}" uniqueName="19" name="Lab Humidity" queryTableFieldId="19" dataDxfId="11"/>
    <tableColumn id="20" xr3:uid="{C280A93A-189A-4103-B2AE-0CB736EF8A70}" uniqueName="20" name="Equipment ID" queryTableFieldId="20" dataDxfId="10"/>
    <tableColumn id="21" xr3:uid="{314CA851-F115-4AC6-819C-000F98C03C35}" uniqueName="21" name="Oven ID" queryTableFieldId="21" dataDxfId="9"/>
    <tableColumn id="11" xr3:uid="{8B08E93E-96A7-4D79-8B5C-D54EDA9341D3}" uniqueName="11" name="Num Raw Test Data" queryTableFieldId="25" dataDxfId="8"/>
    <tableColumn id="12" xr3:uid="{9A322A08-7B85-453F-89EF-4DC9662B1627}" uniqueName="12" name="Text Raw Test Data" queryTableFieldId="26" dataDxfId="7"/>
    <tableColumn id="8" xr3:uid="{79C2D545-ADDE-4CA3-B2D0-CE0BE9F9770D}" uniqueName="8" name="Visible" queryTableFieldId="8" dataDxfId="6">
      <calculatedColumnFormula>SUBTOTAL(103,dTestIDdirectory[[#This Row],[Test Name]])</calculatedColumnFormula>
    </tableColumn>
  </tableColumns>
  <tableStyleInfo name="TableStyleMedium10" showFirstColumn="0" showLastColumn="0" showRowStripes="0"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2BD179B8-9255-43C7-8C40-B8CFB5D5328B}" name="FinalTestGrid" displayName="FinalTestGrid" ref="A13:Y40" tableType="queryTable" totalsRowShown="0" headerRowDxfId="75" dataDxfId="74">
  <autoFilter ref="A13:Y40" xr:uid="{2BD179B8-9255-43C7-8C40-B8CFB5D5328B}"/>
  <sortState xmlns:xlrd2="http://schemas.microsoft.com/office/spreadsheetml/2017/richdata2" ref="A14:Y40">
    <sortCondition ref="B13:B40"/>
  </sortState>
  <tableColumns count="25">
    <tableColumn id="1" xr3:uid="{5A58A6CC-566D-47D9-AFC0-DFD913A98FAE}" uniqueName="1" name="PDL ID" queryTableFieldId="1" dataDxfId="73"/>
    <tableColumn id="2" xr3:uid="{709E8BB2-1FEB-4B0D-ACDA-AD0C8360E8C4}" uniqueName="2" name="Sample ID" queryTableFieldId="2" dataDxfId="72"/>
    <tableColumn id="4" xr3:uid="{A0042E7F-413C-4BBF-ADF9-FB56A06580F9}" uniqueName="4" name="Sheen" queryTableFieldId="4" dataDxfId="71"/>
    <tableColumn id="5" xr3:uid="{C6ED5931-3771-4818-B82D-4691B9F1F444}" uniqueName="5" name="Color" queryTableFieldId="5" dataDxfId="70"/>
    <tableColumn id="19" xr3:uid="{E61E21AF-9308-4D56-8626-4656D4764628}" uniqueName="19" name="Sort Position" queryTableFieldId="24" dataDxfId="69"/>
    <tableColumn id="6" xr3:uid="{26516D38-0ECE-4FC6-8673-1668D7AE8C4C}" uniqueName="6" name="Base" queryTableFieldId="6" dataDxfId="68"/>
    <tableColumn id="3" xr3:uid="{066A4B4F-895E-4BF1-9945-D3657824B9A5}" uniqueName="3" name="Unique Product Name" queryTableFieldId="3" dataDxfId="67"/>
    <tableColumn id="7" xr3:uid="{466BA256-8CFF-4936-A924-B9096AB59394}" uniqueName="7" name="Product ID" queryTableFieldId="7" dataDxfId="66"/>
    <tableColumn id="8" xr3:uid="{D6661D17-C33F-4414-A9B8-0B2F85604409}" uniqueName="8" name="Test ID" queryTableFieldId="8" dataDxfId="65"/>
    <tableColumn id="9" xr3:uid="{FA506248-01A1-4D0E-8905-E01A81CFB07F}" uniqueName="9" name="Test Name" queryTableFieldId="9" dataDxfId="64"/>
    <tableColumn id="20" xr3:uid="{6CA1D752-8289-4E7C-A7DB-3F07067E4D36}" uniqueName="20" name="Data Type" queryTableFieldId="30" dataDxfId="63"/>
    <tableColumn id="22" xr3:uid="{47915F01-C2B5-458B-BDE8-5F338683722A}" uniqueName="22" name="ASTM-Version" queryTableFieldId="32" dataDxfId="62"/>
    <tableColumn id="10" xr3:uid="{19930234-492B-402A-96A3-82C6BAA29C34}" uniqueName="10" name="Date of Test" queryTableFieldId="46"/>
    <tableColumn id="11" xr3:uid="{7CE353A8-98A0-46EA-92F1-B51AC6D41970}" uniqueName="11" name="Operator iD" queryTableFieldId="47" dataDxfId="61"/>
    <tableColumn id="12" xr3:uid="{24626CE9-9348-4370-92EF-F38A7C6D5585}" uniqueName="12" name="Lab Location" queryTableFieldId="48"/>
    <tableColumn id="13" xr3:uid="{EA34F4A5-D174-4037-9891-93E2F88247AE}" uniqueName="13" name="Lab Temperature" queryTableFieldId="49"/>
    <tableColumn id="14" xr3:uid="{BA440CD7-8053-49B5-87EF-B9C9B4A900CD}" uniqueName="14" name="Lab Humidity" queryTableFieldId="50"/>
    <tableColumn id="15" xr3:uid="{6AD73FF0-D4B0-45D5-BF19-34BFE562C708}" uniqueName="15" name="Equipment ID" queryTableFieldId="51"/>
    <tableColumn id="16" xr3:uid="{C66AE7A4-1579-4E5A-B1F0-F4D60BA668D1}" uniqueName="16" name="Oven ID" queryTableFieldId="52"/>
    <tableColumn id="17" xr3:uid="{ED93B112-6E8F-45EF-B036-07DDE5BF0163}" uniqueName="17" name="Num Raw Test Data" queryTableFieldId="53"/>
    <tableColumn id="18" xr3:uid="{0A4D7C68-85FB-4CB0-989F-57256F0C73DC}" uniqueName="18" name="Text Raw Test Data" queryTableFieldId="54"/>
    <tableColumn id="21" xr3:uid="{C5A0B207-3088-4934-9617-D8D8FBAC0280}" uniqueName="21" name="Merged" queryTableFieldId="55" dataDxfId="60"/>
    <tableColumn id="23" xr3:uid="{30040059-325F-4A56-A9A0-FA782EF47204}" uniqueName="23" name="Record Validation" queryTableFieldId="56" dataDxfId="59">
      <calculatedColumnFormula array="1">_xlfn.SWITCH(
    TRUE,
    AND(FinalTestGrid[[#This Row],[Num Raw Test Data]]="",FinalTestGrid[[#This Row],[Text Raw Test Data]]=""),"Please enter record",
    AND(FinalTestGrid[[#This Row],[Num Raw Test Data]]&lt;&gt;"",FinalTestGrid[[#This Row],[Text Raw Test Data]]&lt;&gt;""),"Select right column",
    "Record inputted"
)</calculatedColumnFormula>
    </tableColumn>
    <tableColumn id="24" xr3:uid="{A4A8E636-382B-4119-B42A-C4537E74A939}" uniqueName="24" name="Column2" queryTableFieldId="57" dataDxfId="58">
      <calculatedColumnFormula>IF(OR(COUNTIFS(dTestRatings[Test ID],FinalTestGrid[[#This Row],[ASTM-Version]],dTestRatings[Non Interval Value],FinalTestGrid[[#This Row],[Text Raw Test Data]])&gt;0,FinalTestGrid[[#This Row],[Data Type]]="Numeric"),"PASS","FAIL")</calculatedColumnFormula>
    </tableColumn>
    <tableColumn id="25" xr3:uid="{225DD070-78AE-41A6-8FBE-E5116E574F58}" uniqueName="25" name="Column3" queryTableFieldId="58" dataDxfId="57">
      <calculatedColumnFormula array="1">IF(SUMPRODUCT(
    (dTestRatings[Test ID]=FinalTestGrid[[#This Row],[ASTM-Version]])*
    (FinalTestGrid[[#This Row],[Num Raw Test Data]]&gt;=dTestRatings[Minimum Interval Value])*
    (FinalTestGrid[[#This Row],[Num Raw Test Data]]&lt;=dTestRatings[Maximum Interval Value])
)&gt;0,"PASS","FAIL")</calculatedColumnFormula>
    </tableColumn>
  </tableColumns>
  <tableStyleInfo name="TableStyleMedium10" showFirstColumn="0" showLastColumn="0" showRowStripes="0"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E34C9C2D-62CF-494C-8DCF-CC99159583C4}" name="dTestRatings" displayName="dTestRatings" ref="A1:O40" tableType="queryTable" totalsRowShown="0">
  <autoFilter ref="A1:O40" xr:uid="{E34C9C2D-62CF-494C-8DCF-CC99159583C4}">
    <filterColumn colId="0">
      <filters>
        <filter val="A6"/>
      </filters>
    </filterColumn>
  </autoFilter>
  <tableColumns count="15">
    <tableColumn id="1" xr3:uid="{8A716F48-6BA8-4F69-9FC4-08928C0E5F5F}" uniqueName="1" name="Test ID" queryTableFieldId="1" dataDxfId="5"/>
    <tableColumn id="2" xr3:uid="{F3BEAE95-040D-471F-BE67-EDBB2F566E87}" uniqueName="2" name="Test Parent Category" queryTableFieldId="2" dataDxfId="4"/>
    <tableColumn id="3" xr3:uid="{60BAFD5D-D67E-453B-A401-6E0D465EB0C6}" uniqueName="3" name="Test Name" queryTableFieldId="3" dataDxfId="3"/>
    <tableColumn id="4" xr3:uid="{7C9F7EA6-86E7-485F-9136-1F3FE671BCC6}" uniqueName="4" name="Minimum Interval Value" queryTableFieldId="4"/>
    <tableColumn id="5" xr3:uid="{76B1D63A-399A-41DF-8CB2-7C2211616F0C}" uniqueName="5" name="Maximum Interval Value" queryTableFieldId="5"/>
    <tableColumn id="6" xr3:uid="{3BF22248-735B-499A-8C14-3CCFD0983980}" uniqueName="6" name="Non Interval Value" queryTableFieldId="6" dataDxfId="2"/>
    <tableColumn id="7" xr3:uid="{1D1DA215-019B-420C-A643-4A1245B457B5}" uniqueName="7" name="ASTM / Spec Rating" queryTableFieldId="7"/>
    <tableColumn id="8" xr3:uid="{D6DB18E8-5794-4D69-9AC6-2C9F4B9C6033}" uniqueName="8" name="TextNumeric Benchmark Rating" queryTableFieldId="8"/>
    <tableColumn id="9" xr3:uid="{2CDE13CC-6A86-4F5D-AA6D-703A9B5472FC}" uniqueName="9" name="Benchmark Rating" queryTableFieldId="9"/>
    <tableColumn id="10" xr3:uid="{AE2558C2-C3BA-4FE8-B603-6970A0F038F5}" uniqueName="10" name="Performance" queryTableFieldId="10" dataDxfId="1"/>
    <tableColumn id="11" xr3:uid="{64106453-94B3-4ACD-81B0-8B425A8DC9D4}" uniqueName="11" name="Column11" queryTableFieldId="11"/>
    <tableColumn id="12" xr3:uid="{CF6231A2-3200-4A3E-8E8F-0D9BE547D6E8}" uniqueName="12" name="Column12" queryTableFieldId="12"/>
    <tableColumn id="13" xr3:uid="{21F6162C-9BB6-4A8D-BD5A-5D4813C9E123}" uniqueName="13" name="Column13" queryTableFieldId="13"/>
    <tableColumn id="14" xr3:uid="{54C183BA-7C6D-45CE-BA23-D04CE8F97257}" uniqueName="14" name="Column14" queryTableFieldId="14"/>
    <tableColumn id="15" xr3:uid="{C07E71AB-2168-4DEB-B567-E707F0810A8F}" uniqueName="15" name="Column15" queryTableFieldId="15" dataDxfId="0">
      <calculatedColumnFormula>IF(dTestRatings[[#This Row],[Minimum Interval Value]]="","NonInterval","Interval")</calculatedColumnFormula>
    </tableColumn>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drawing" Target="../drawings/drawing2.xml"/><Relationship Id="rId4" Type="http://schemas.microsoft.com/office/2007/relationships/slicer" Target="../slicers/slicer1.xml"/></Relationships>
</file>

<file path=xl/worksheets/_rels/sheet3.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drawing" Target="../drawings/drawing3.xml"/><Relationship Id="rId1" Type="http://schemas.openxmlformats.org/officeDocument/2006/relationships/printerSettings" Target="../printerSettings/printerSettings1.bin"/><Relationship Id="rId4" Type="http://schemas.microsoft.com/office/2007/relationships/slicer" Target="../slicers/slicer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4.xml"/><Relationship Id="rId1" Type="http://schemas.openxmlformats.org/officeDocument/2006/relationships/printerSettings" Target="../printerSettings/printerSettings2.bin"/><Relationship Id="rId6" Type="http://schemas.microsoft.com/office/2007/relationships/slicer" Target="../slicers/slicer3.xml"/><Relationship Id="rId5" Type="http://schemas.openxmlformats.org/officeDocument/2006/relationships/table" Target="../tables/table4.xml"/><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1" Type="http://schemas.openxmlformats.org/officeDocument/2006/relationships/table" Target="../tables/table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832D99-2755-423C-BF2D-11542075CA36}">
  <sheetPr codeName="Sheet5"/>
  <dimension ref="A1:Z9"/>
  <sheetViews>
    <sheetView workbookViewId="0">
      <selection sqref="A1:W8"/>
    </sheetView>
  </sheetViews>
  <sheetFormatPr defaultRowHeight="15" x14ac:dyDescent="0.25"/>
  <cols>
    <col min="1" max="16384" width="9.140625" style="6"/>
  </cols>
  <sheetData>
    <row r="1" spans="1:26" x14ac:dyDescent="0.25">
      <c r="A1" s="27" t="s">
        <v>294</v>
      </c>
      <c r="B1" s="27"/>
      <c r="C1" s="27"/>
      <c r="D1" s="27"/>
      <c r="E1" s="27"/>
      <c r="F1" s="27"/>
      <c r="G1" s="27"/>
      <c r="H1" s="27"/>
      <c r="I1" s="27"/>
      <c r="J1" s="27"/>
      <c r="K1" s="27"/>
      <c r="L1" s="27"/>
      <c r="M1" s="27"/>
      <c r="N1" s="27"/>
      <c r="O1" s="27"/>
      <c r="P1" s="27"/>
      <c r="Q1" s="27"/>
      <c r="R1" s="27"/>
      <c r="S1" s="27"/>
      <c r="T1" s="27"/>
      <c r="U1" s="27"/>
      <c r="V1" s="27"/>
      <c r="W1" s="27"/>
    </row>
    <row r="2" spans="1:26" x14ac:dyDescent="0.25">
      <c r="A2" s="27"/>
      <c r="B2" s="27"/>
      <c r="C2" s="27"/>
      <c r="D2" s="27"/>
      <c r="E2" s="27"/>
      <c r="F2" s="27"/>
      <c r="G2" s="27"/>
      <c r="H2" s="27"/>
      <c r="I2" s="27"/>
      <c r="J2" s="27"/>
      <c r="K2" s="27"/>
      <c r="L2" s="27"/>
      <c r="M2" s="27"/>
      <c r="N2" s="27"/>
      <c r="O2" s="27"/>
      <c r="P2" s="27"/>
      <c r="Q2" s="27"/>
      <c r="R2" s="27"/>
      <c r="S2" s="27"/>
      <c r="T2" s="27"/>
      <c r="U2" s="27"/>
      <c r="V2" s="27"/>
      <c r="W2" s="27"/>
    </row>
    <row r="3" spans="1:26" x14ac:dyDescent="0.25">
      <c r="A3" s="27"/>
      <c r="B3" s="27"/>
      <c r="C3" s="27"/>
      <c r="D3" s="27"/>
      <c r="E3" s="27"/>
      <c r="F3" s="27"/>
      <c r="G3" s="27"/>
      <c r="H3" s="27"/>
      <c r="I3" s="27"/>
      <c r="J3" s="27"/>
      <c r="K3" s="27"/>
      <c r="L3" s="27"/>
      <c r="M3" s="27"/>
      <c r="N3" s="27"/>
      <c r="O3" s="27"/>
      <c r="P3" s="27"/>
      <c r="Q3" s="27"/>
      <c r="R3" s="27"/>
      <c r="S3" s="27"/>
      <c r="T3" s="27"/>
      <c r="U3" s="27"/>
      <c r="V3" s="27"/>
      <c r="W3" s="27"/>
    </row>
    <row r="4" spans="1:26" ht="15" customHeight="1" x14ac:dyDescent="0.25">
      <c r="A4" s="27"/>
      <c r="B4" s="27"/>
      <c r="C4" s="27"/>
      <c r="D4" s="27"/>
      <c r="E4" s="27"/>
      <c r="F4" s="27"/>
      <c r="G4" s="27"/>
      <c r="H4" s="27"/>
      <c r="I4" s="27"/>
      <c r="J4" s="27"/>
      <c r="K4" s="27"/>
      <c r="L4" s="27"/>
      <c r="M4" s="27"/>
      <c r="N4" s="27"/>
      <c r="O4" s="27"/>
      <c r="P4" s="27"/>
      <c r="Q4" s="27"/>
      <c r="R4" s="27"/>
      <c r="S4" s="27"/>
      <c r="T4" s="27"/>
      <c r="U4" s="27"/>
      <c r="V4" s="27"/>
      <c r="W4" s="27"/>
    </row>
    <row r="5" spans="1:26" x14ac:dyDescent="0.25">
      <c r="A5" s="27"/>
      <c r="B5" s="27"/>
      <c r="C5" s="27"/>
      <c r="D5" s="27"/>
      <c r="E5" s="27"/>
      <c r="F5" s="27"/>
      <c r="G5" s="27"/>
      <c r="H5" s="27"/>
      <c r="I5" s="27"/>
      <c r="J5" s="27"/>
      <c r="K5" s="27"/>
      <c r="L5" s="27"/>
      <c r="M5" s="27"/>
      <c r="N5" s="27"/>
      <c r="O5" s="27"/>
      <c r="P5" s="27"/>
      <c r="Q5" s="27"/>
      <c r="R5" s="27"/>
      <c r="S5" s="27"/>
      <c r="T5" s="27"/>
      <c r="U5" s="27"/>
      <c r="V5" s="27"/>
      <c r="W5" s="27"/>
    </row>
    <row r="6" spans="1:26" ht="15" customHeight="1" x14ac:dyDescent="0.25">
      <c r="A6" s="27"/>
      <c r="B6" s="27"/>
      <c r="C6" s="27"/>
      <c r="D6" s="27"/>
      <c r="E6" s="27"/>
      <c r="F6" s="27"/>
      <c r="G6" s="27"/>
      <c r="H6" s="27"/>
      <c r="I6" s="27"/>
      <c r="J6" s="27"/>
      <c r="K6" s="27"/>
      <c r="L6" s="27"/>
      <c r="M6" s="27"/>
      <c r="N6" s="27"/>
      <c r="O6" s="27"/>
      <c r="P6" s="27"/>
      <c r="Q6" s="27"/>
      <c r="R6" s="27"/>
      <c r="S6" s="27"/>
      <c r="T6" s="27"/>
      <c r="U6" s="27"/>
      <c r="V6" s="27"/>
      <c r="W6" s="27"/>
    </row>
    <row r="7" spans="1:26" ht="15" customHeight="1" x14ac:dyDescent="0.25">
      <c r="A7" s="27"/>
      <c r="B7" s="27"/>
      <c r="C7" s="27"/>
      <c r="D7" s="27"/>
      <c r="E7" s="27"/>
      <c r="F7" s="27"/>
      <c r="G7" s="27"/>
      <c r="H7" s="27"/>
      <c r="I7" s="27"/>
      <c r="J7" s="27"/>
      <c r="K7" s="27"/>
      <c r="L7" s="27"/>
      <c r="M7" s="27"/>
      <c r="N7" s="27"/>
      <c r="O7" s="27"/>
      <c r="P7" s="27"/>
      <c r="Q7" s="27"/>
      <c r="R7" s="27"/>
      <c r="S7" s="27"/>
      <c r="T7" s="27"/>
      <c r="U7" s="27"/>
      <c r="V7" s="27"/>
      <c r="W7" s="27"/>
    </row>
    <row r="8" spans="1:26" ht="15" customHeight="1" x14ac:dyDescent="0.25">
      <c r="A8" s="27"/>
      <c r="B8" s="27"/>
      <c r="C8" s="27"/>
      <c r="D8" s="27"/>
      <c r="E8" s="27"/>
      <c r="F8" s="27"/>
      <c r="G8" s="27"/>
      <c r="H8" s="27"/>
      <c r="I8" s="27"/>
      <c r="J8" s="27"/>
      <c r="K8" s="27"/>
      <c r="L8" s="27"/>
      <c r="M8" s="27"/>
      <c r="N8" s="27"/>
      <c r="O8" s="27"/>
      <c r="P8" s="27"/>
      <c r="Q8" s="27"/>
      <c r="R8" s="27"/>
      <c r="S8" s="27"/>
      <c r="T8" s="27"/>
      <c r="U8" s="27"/>
      <c r="V8" s="27"/>
      <c r="W8" s="27"/>
    </row>
    <row r="9" spans="1:26" x14ac:dyDescent="0.25">
      <c r="Z9" s="6" t="s">
        <v>295</v>
      </c>
    </row>
  </sheetData>
  <mergeCells count="1">
    <mergeCell ref="A1:W8"/>
  </mergeCell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3711D3-F513-47C1-B311-40EEAEF38F91}">
  <sheetPr codeName="Sheet2"/>
  <dimension ref="A1:AT62"/>
  <sheetViews>
    <sheetView showGridLines="0" tabSelected="1" zoomScale="97" workbookViewId="0">
      <selection activeCell="I3" sqref="I3"/>
    </sheetView>
  </sheetViews>
  <sheetFormatPr defaultRowHeight="15" x14ac:dyDescent="0.25"/>
  <cols>
    <col min="1" max="1" width="8.42578125" bestFit="1" customWidth="1"/>
    <col min="2" max="2" width="16.28515625" customWidth="1"/>
    <col min="3" max="3" width="13.42578125" bestFit="1" customWidth="1"/>
    <col min="4" max="4" width="14.85546875" customWidth="1"/>
    <col min="5" max="5" width="18" customWidth="1"/>
    <col min="6" max="6" width="21.5703125" bestFit="1" customWidth="1"/>
    <col min="7" max="7" width="8.5703125" bestFit="1" customWidth="1"/>
    <col min="8" max="8" width="11.7109375" hidden="1" customWidth="1"/>
    <col min="9" max="9" width="16.140625" bestFit="1" customWidth="1"/>
    <col min="10" max="10" width="58.5703125" customWidth="1"/>
    <col min="11" max="11" width="13" hidden="1" customWidth="1"/>
    <col min="12" max="12" width="12.7109375" hidden="1" customWidth="1"/>
    <col min="13" max="13" width="14.85546875" hidden="1" customWidth="1"/>
    <col min="14" max="14" width="7.7109375" hidden="1" customWidth="1"/>
    <col min="15" max="15" width="15.85546875" hidden="1" customWidth="1"/>
    <col min="16" max="16" width="44.7109375" hidden="1" customWidth="1"/>
    <col min="17" max="17" width="9.42578125" hidden="1" customWidth="1"/>
    <col min="18" max="18" width="47.140625" bestFit="1" customWidth="1"/>
    <col min="19" max="19" width="13" customWidth="1"/>
    <col min="20" max="20" width="12.7109375" bestFit="1" customWidth="1"/>
    <col min="21" max="21" width="14.85546875" bestFit="1" customWidth="1"/>
    <col min="22" max="22" width="7.7109375" bestFit="1" customWidth="1"/>
    <col min="23" max="23" width="15.85546875" bestFit="1" customWidth="1"/>
    <col min="24" max="24" width="44.7109375" bestFit="1" customWidth="1"/>
    <col min="25" max="25" width="9.42578125" bestFit="1" customWidth="1"/>
    <col min="26" max="26" width="9.140625" bestFit="1" customWidth="1"/>
    <col min="27" max="27" width="17.42578125" bestFit="1" customWidth="1"/>
    <col min="28" max="28" width="12.85546875" customWidth="1"/>
    <col min="29" max="29" width="12.42578125" customWidth="1"/>
    <col min="30" max="30" width="8.42578125" customWidth="1"/>
    <col min="31" max="31" width="10.28515625" customWidth="1"/>
    <col min="32" max="32" width="13.42578125" customWidth="1"/>
    <col min="33" max="33" width="14.85546875" customWidth="1"/>
    <col min="34" max="34" width="9" customWidth="1"/>
    <col min="35" max="35" width="13" customWidth="1"/>
    <col min="36" max="36" width="21.5703125" customWidth="1"/>
    <col min="37" max="37" width="14.85546875" customWidth="1"/>
    <col min="38" max="38" width="7.7109375" customWidth="1"/>
    <col min="39" max="39" width="15.85546875" customWidth="1"/>
    <col min="40" max="40" width="42.85546875" customWidth="1"/>
    <col min="41" max="41" width="8.5703125" customWidth="1"/>
    <col min="42" max="42" width="11.7109375" customWidth="1"/>
    <col min="43" max="43" width="16.140625" customWidth="1"/>
    <col min="44" max="44" width="9.42578125" customWidth="1"/>
    <col min="45" max="45" width="45" customWidth="1"/>
    <col min="46" max="46" width="12.7109375" customWidth="1"/>
    <col min="47" max="47" width="12.28515625" bestFit="1" customWidth="1"/>
    <col min="48" max="48" width="9.42578125" bestFit="1" customWidth="1"/>
    <col min="49" max="49" width="11.7109375" bestFit="1" customWidth="1"/>
    <col min="50" max="50" width="14.42578125" customWidth="1"/>
    <col min="51" max="51" width="12.85546875" customWidth="1"/>
  </cols>
  <sheetData>
    <row r="1" spans="1:10" ht="63.75" x14ac:dyDescent="0.25">
      <c r="A1" s="7"/>
      <c r="B1" s="7"/>
      <c r="C1" s="7"/>
      <c r="D1" s="7"/>
      <c r="E1" s="7"/>
      <c r="F1" s="7"/>
      <c r="G1" s="7"/>
      <c r="H1" s="7"/>
      <c r="I1" s="7"/>
      <c r="J1" s="7"/>
    </row>
    <row r="2" spans="1:10" ht="63.75" x14ac:dyDescent="0.25">
      <c r="A2" s="7"/>
      <c r="B2" s="7"/>
      <c r="C2" s="7"/>
      <c r="D2" s="7"/>
      <c r="E2" s="7"/>
      <c r="F2" s="7"/>
      <c r="G2" s="7"/>
      <c r="H2" s="7"/>
      <c r="I2" s="7"/>
      <c r="J2" s="7"/>
    </row>
    <row r="3" spans="1:10" ht="15" customHeight="1" x14ac:dyDescent="0.25">
      <c r="A3" s="7"/>
      <c r="B3" s="7"/>
      <c r="C3" s="7"/>
      <c r="D3" s="7"/>
      <c r="E3" s="7"/>
      <c r="F3" s="7"/>
      <c r="G3" s="7"/>
      <c r="H3" s="7"/>
      <c r="I3" s="7"/>
      <c r="J3" s="7"/>
    </row>
    <row r="8" spans="1:10" ht="15.75" x14ac:dyDescent="0.25">
      <c r="B8" s="21" t="s">
        <v>25</v>
      </c>
      <c r="C8" s="21" t="s">
        <v>33</v>
      </c>
      <c r="D8" s="21" t="s">
        <v>27</v>
      </c>
    </row>
    <row r="9" spans="1:10" ht="18.75" x14ac:dyDescent="0.25">
      <c r="B9" s="20" t="s">
        <v>299</v>
      </c>
      <c r="C9" s="20">
        <v>1</v>
      </c>
      <c r="D9" s="20" t="s">
        <v>23</v>
      </c>
    </row>
    <row r="21" spans="1:42" x14ac:dyDescent="0.25">
      <c r="AE21" s="2"/>
    </row>
    <row r="22" spans="1:42" x14ac:dyDescent="0.25">
      <c r="A22" s="9" t="s">
        <v>3</v>
      </c>
      <c r="B22" s="9" t="s">
        <v>4</v>
      </c>
      <c r="C22" s="9" t="s">
        <v>11</v>
      </c>
      <c r="D22" s="9" t="s">
        <v>5</v>
      </c>
      <c r="E22" s="9" t="s">
        <v>7</v>
      </c>
      <c r="F22" s="9" t="s">
        <v>8</v>
      </c>
      <c r="G22" s="9" t="s">
        <v>28</v>
      </c>
      <c r="H22" t="s">
        <v>56</v>
      </c>
      <c r="I22" s="9" t="s">
        <v>22</v>
      </c>
      <c r="J22" s="11" t="s">
        <v>43</v>
      </c>
      <c r="K22" t="s">
        <v>222</v>
      </c>
      <c r="L22" t="s">
        <v>49</v>
      </c>
      <c r="M22" t="s">
        <v>91</v>
      </c>
      <c r="N22" t="s">
        <v>232</v>
      </c>
      <c r="O22" t="s">
        <v>233</v>
      </c>
      <c r="P22" t="s">
        <v>234</v>
      </c>
      <c r="Q22" t="s">
        <v>57</v>
      </c>
      <c r="W22" s="2"/>
      <c r="AM22" s="1"/>
      <c r="AN22" s="1"/>
      <c r="AO22" s="1"/>
      <c r="AP22" s="1"/>
    </row>
    <row r="23" spans="1:42" x14ac:dyDescent="0.25">
      <c r="A23" s="16" t="s">
        <v>2</v>
      </c>
      <c r="B23" s="16" t="s">
        <v>38</v>
      </c>
      <c r="C23" s="16" t="s">
        <v>12</v>
      </c>
      <c r="D23" s="16" t="s">
        <v>6</v>
      </c>
      <c r="E23" s="16" t="s">
        <v>9</v>
      </c>
      <c r="F23" s="16" t="s">
        <v>10</v>
      </c>
      <c r="G23" s="16" t="s">
        <v>36</v>
      </c>
      <c r="H23" s="16">
        <v>1</v>
      </c>
      <c r="I23" s="16">
        <v>2025</v>
      </c>
      <c r="J23" s="17" t="s">
        <v>266</v>
      </c>
      <c r="K23" s="16" t="s">
        <v>235</v>
      </c>
      <c r="L23" s="16" t="s">
        <v>269</v>
      </c>
      <c r="M23" s="16">
        <v>2</v>
      </c>
      <c r="N23" s="16">
        <v>11.8</v>
      </c>
      <c r="O23" s="16">
        <v>0.3</v>
      </c>
      <c r="P23" s="16" t="s">
        <v>236</v>
      </c>
      <c r="Q23" s="16">
        <f>SUBTOTAL(103,ProductSelectionGrid[[#This Row],[Brand]])</f>
        <v>1</v>
      </c>
      <c r="W23" s="2"/>
    </row>
    <row r="24" spans="1:42" x14ac:dyDescent="0.25">
      <c r="A24" s="16" t="s">
        <v>2</v>
      </c>
      <c r="B24" s="16" t="s">
        <v>38</v>
      </c>
      <c r="C24" s="16" t="s">
        <v>12</v>
      </c>
      <c r="D24" s="16" t="s">
        <v>6</v>
      </c>
      <c r="E24" s="16" t="s">
        <v>9</v>
      </c>
      <c r="F24" s="16" t="s">
        <v>24</v>
      </c>
      <c r="G24" s="16" t="s">
        <v>40</v>
      </c>
      <c r="H24" s="18">
        <v>2</v>
      </c>
      <c r="I24" s="16">
        <v>2025</v>
      </c>
      <c r="J24" s="17" t="s">
        <v>44</v>
      </c>
      <c r="K24" s="18" t="s">
        <v>235</v>
      </c>
      <c r="L24" s="18" t="s">
        <v>31</v>
      </c>
      <c r="M24" s="18">
        <v>2</v>
      </c>
      <c r="N24" s="18">
        <v>11.65</v>
      </c>
      <c r="O24" s="18">
        <v>0.3</v>
      </c>
      <c r="P24" s="18" t="s">
        <v>237</v>
      </c>
      <c r="Q24" s="18">
        <f>SUBTOTAL(103,ProductSelectionGrid[[#This Row],[Brand]])</f>
        <v>1</v>
      </c>
      <c r="W24" s="2"/>
    </row>
    <row r="25" spans="1:42" s="1" customFormat="1" x14ac:dyDescent="0.25">
      <c r="A25" s="16" t="s">
        <v>2</v>
      </c>
      <c r="B25" s="16" t="s">
        <v>38</v>
      </c>
      <c r="C25" s="16" t="s">
        <v>12</v>
      </c>
      <c r="D25" s="16" t="s">
        <v>6</v>
      </c>
      <c r="E25" s="16" t="s">
        <v>9</v>
      </c>
      <c r="F25" s="16" t="s">
        <v>34</v>
      </c>
      <c r="G25" s="16" t="s">
        <v>39</v>
      </c>
      <c r="H25" s="16">
        <v>3</v>
      </c>
      <c r="I25" s="16">
        <v>2025</v>
      </c>
      <c r="J25" s="17" t="s">
        <v>45</v>
      </c>
      <c r="K25" s="16" t="s">
        <v>235</v>
      </c>
      <c r="L25" s="16" t="s">
        <v>32</v>
      </c>
      <c r="M25" s="16">
        <v>2</v>
      </c>
      <c r="N25" s="16">
        <v>11.23</v>
      </c>
      <c r="O25" s="16">
        <v>0.3</v>
      </c>
      <c r="P25" s="16" t="s">
        <v>238</v>
      </c>
      <c r="Q25" s="16">
        <f>SUBTOTAL(103,ProductSelectionGrid[[#This Row],[Brand]])</f>
        <v>1</v>
      </c>
      <c r="R25"/>
      <c r="S25"/>
      <c r="T25"/>
      <c r="U25"/>
      <c r="V25"/>
      <c r="W25" s="2"/>
      <c r="X25"/>
      <c r="Y25"/>
      <c r="Z25"/>
      <c r="AA25"/>
      <c r="AB25"/>
      <c r="AC25"/>
      <c r="AD25"/>
      <c r="AE25"/>
      <c r="AF25"/>
      <c r="AG25"/>
      <c r="AH25"/>
      <c r="AI25"/>
      <c r="AJ25"/>
      <c r="AK25"/>
      <c r="AL25"/>
      <c r="AM25"/>
      <c r="AN25"/>
      <c r="AO25"/>
      <c r="AP25"/>
    </row>
    <row r="26" spans="1:42" x14ac:dyDescent="0.25">
      <c r="A26" s="16" t="s">
        <v>2</v>
      </c>
      <c r="B26" s="16" t="s">
        <v>38</v>
      </c>
      <c r="C26" s="16" t="s">
        <v>12</v>
      </c>
      <c r="D26" s="16" t="s">
        <v>6</v>
      </c>
      <c r="E26" s="16" t="s">
        <v>9</v>
      </c>
      <c r="F26" s="16" t="s">
        <v>106</v>
      </c>
      <c r="G26" s="16" t="s">
        <v>39</v>
      </c>
      <c r="H26" s="16">
        <v>3</v>
      </c>
      <c r="I26" s="16">
        <v>2025</v>
      </c>
      <c r="J26" s="17" t="s">
        <v>109</v>
      </c>
      <c r="K26" s="16" t="s">
        <v>235</v>
      </c>
      <c r="L26" s="16" t="s">
        <v>117</v>
      </c>
      <c r="M26" s="16">
        <v>2</v>
      </c>
      <c r="N26" s="16">
        <v>10.18</v>
      </c>
      <c r="O26" s="16">
        <v>0.3</v>
      </c>
      <c r="P26" s="16" t="s">
        <v>239</v>
      </c>
      <c r="Q26" s="16">
        <f>SUBTOTAL(103,ProductSelectionGrid[[#This Row],[Brand]])</f>
        <v>1</v>
      </c>
      <c r="W26" s="2"/>
    </row>
    <row r="27" spans="1:42" x14ac:dyDescent="0.25">
      <c r="A27" s="16" t="s">
        <v>92</v>
      </c>
      <c r="B27" s="16" t="s">
        <v>93</v>
      </c>
      <c r="C27" s="16" t="s">
        <v>12</v>
      </c>
      <c r="D27" s="16" t="s">
        <v>6</v>
      </c>
      <c r="E27" s="16" t="s">
        <v>9</v>
      </c>
      <c r="F27" s="16" t="s">
        <v>24</v>
      </c>
      <c r="G27" s="16" t="s">
        <v>40</v>
      </c>
      <c r="H27" s="18">
        <v>1</v>
      </c>
      <c r="I27" s="16">
        <v>2025</v>
      </c>
      <c r="J27" s="17" t="s">
        <v>94</v>
      </c>
      <c r="K27" s="18" t="s">
        <v>235</v>
      </c>
      <c r="L27" s="18" t="s">
        <v>50</v>
      </c>
      <c r="M27" s="18">
        <v>2</v>
      </c>
      <c r="N27" s="18">
        <v>11.43</v>
      </c>
      <c r="O27" s="18">
        <v>0.3</v>
      </c>
      <c r="P27" s="18" t="s">
        <v>237</v>
      </c>
      <c r="Q27" s="18">
        <f>SUBTOTAL(103,ProductSelectionGrid[[#This Row],[Brand]])</f>
        <v>1</v>
      </c>
      <c r="W27" s="2"/>
    </row>
    <row r="28" spans="1:42" x14ac:dyDescent="0.25">
      <c r="A28" s="16" t="s">
        <v>92</v>
      </c>
      <c r="B28" s="16" t="s">
        <v>96</v>
      </c>
      <c r="C28" s="16" t="s">
        <v>12</v>
      </c>
      <c r="D28" s="16" t="s">
        <v>6</v>
      </c>
      <c r="E28" s="16" t="s">
        <v>9</v>
      </c>
      <c r="F28" s="16" t="s">
        <v>34</v>
      </c>
      <c r="G28" s="16" t="s">
        <v>39</v>
      </c>
      <c r="H28" s="16">
        <v>3</v>
      </c>
      <c r="I28" s="16">
        <v>2025</v>
      </c>
      <c r="J28" s="17" t="s">
        <v>97</v>
      </c>
      <c r="K28" s="16" t="s">
        <v>235</v>
      </c>
      <c r="L28" s="16" t="s">
        <v>51</v>
      </c>
      <c r="M28" s="16">
        <v>2</v>
      </c>
      <c r="N28" s="16">
        <v>10.07</v>
      </c>
      <c r="O28" s="16">
        <v>0.3</v>
      </c>
      <c r="P28" s="16" t="s">
        <v>238</v>
      </c>
      <c r="Q28" s="16">
        <f>SUBTOTAL(103,ProductSelectionGrid[[#This Row],[Brand]])</f>
        <v>1</v>
      </c>
      <c r="W28" s="2"/>
    </row>
    <row r="29" spans="1:42" x14ac:dyDescent="0.25">
      <c r="A29" s="16" t="s">
        <v>92</v>
      </c>
      <c r="B29" s="16" t="s">
        <v>93</v>
      </c>
      <c r="C29" s="16" t="s">
        <v>12</v>
      </c>
      <c r="D29" s="16" t="s">
        <v>6</v>
      </c>
      <c r="E29" s="16" t="s">
        <v>9</v>
      </c>
      <c r="F29" s="16" t="s">
        <v>106</v>
      </c>
      <c r="G29" s="16" t="s">
        <v>39</v>
      </c>
      <c r="H29" s="16">
        <v>3</v>
      </c>
      <c r="I29" s="16">
        <v>2025</v>
      </c>
      <c r="J29" s="17" t="s">
        <v>113</v>
      </c>
      <c r="K29" s="16" t="s">
        <v>235</v>
      </c>
      <c r="L29" s="16" t="s">
        <v>52</v>
      </c>
      <c r="M29" s="16">
        <v>2</v>
      </c>
      <c r="N29" s="16">
        <v>10.16</v>
      </c>
      <c r="O29" s="16">
        <v>0.3</v>
      </c>
      <c r="P29" s="16" t="s">
        <v>239</v>
      </c>
      <c r="Q29" s="16">
        <f>SUBTOTAL(103,ProductSelectionGrid[[#This Row],[Brand]])</f>
        <v>1</v>
      </c>
      <c r="W29" s="2"/>
    </row>
    <row r="30" spans="1:42" x14ac:dyDescent="0.25">
      <c r="A30" s="16" t="s">
        <v>92</v>
      </c>
      <c r="B30" s="16" t="s">
        <v>96</v>
      </c>
      <c r="C30" s="16" t="s">
        <v>12</v>
      </c>
      <c r="D30" s="16" t="s">
        <v>6</v>
      </c>
      <c r="E30" s="16" t="s">
        <v>9</v>
      </c>
      <c r="F30" s="16" t="s">
        <v>106</v>
      </c>
      <c r="G30" s="16" t="s">
        <v>39</v>
      </c>
      <c r="H30" s="16">
        <v>3</v>
      </c>
      <c r="I30" s="16">
        <v>2025</v>
      </c>
      <c r="J30" s="17" t="s">
        <v>114</v>
      </c>
      <c r="K30" s="16" t="s">
        <v>235</v>
      </c>
      <c r="L30" s="16" t="s">
        <v>53</v>
      </c>
      <c r="M30" s="16">
        <v>2</v>
      </c>
      <c r="N30" s="16">
        <v>11.41</v>
      </c>
      <c r="O30" s="16">
        <v>0.3</v>
      </c>
      <c r="P30" s="16" t="s">
        <v>239</v>
      </c>
      <c r="Q30" s="16">
        <f>SUBTOTAL(103,ProductSelectionGrid[[#This Row],[Brand]])</f>
        <v>1</v>
      </c>
      <c r="W30" s="2"/>
    </row>
    <row r="31" spans="1:42" x14ac:dyDescent="0.25">
      <c r="A31" s="16" t="s">
        <v>0</v>
      </c>
      <c r="B31" s="16" t="s">
        <v>37</v>
      </c>
      <c r="C31" s="16" t="s">
        <v>12</v>
      </c>
      <c r="D31" s="16" t="s">
        <v>6</v>
      </c>
      <c r="E31" s="16" t="s">
        <v>9</v>
      </c>
      <c r="F31" s="16" t="s">
        <v>10</v>
      </c>
      <c r="G31" s="16" t="s">
        <v>36</v>
      </c>
      <c r="H31" s="16">
        <v>1</v>
      </c>
      <c r="I31" s="16">
        <v>2025</v>
      </c>
      <c r="J31" s="17" t="s">
        <v>48</v>
      </c>
      <c r="K31" s="16" t="s">
        <v>235</v>
      </c>
      <c r="L31" s="16" t="s">
        <v>54</v>
      </c>
      <c r="M31" s="16">
        <v>2</v>
      </c>
      <c r="N31" s="16">
        <v>10.130000000000001</v>
      </c>
      <c r="O31" s="16">
        <v>0.3</v>
      </c>
      <c r="P31" s="16" t="s">
        <v>236</v>
      </c>
      <c r="Q31" s="16">
        <f>SUBTOTAL(103,ProductSelectionGrid[[#This Row],[Brand]])</f>
        <v>1</v>
      </c>
      <c r="W31" s="2"/>
    </row>
    <row r="32" spans="1:42" x14ac:dyDescent="0.25">
      <c r="A32" s="16" t="s">
        <v>0</v>
      </c>
      <c r="B32" s="16" t="s">
        <v>37</v>
      </c>
      <c r="C32" s="16" t="s">
        <v>12</v>
      </c>
      <c r="D32" s="16" t="s">
        <v>6</v>
      </c>
      <c r="E32" s="16" t="s">
        <v>9</v>
      </c>
      <c r="F32" s="16" t="s">
        <v>24</v>
      </c>
      <c r="G32" s="16" t="s">
        <v>40</v>
      </c>
      <c r="H32" s="18">
        <v>2</v>
      </c>
      <c r="I32" s="16">
        <v>2025</v>
      </c>
      <c r="J32" s="17" t="s">
        <v>42</v>
      </c>
      <c r="K32" s="18" t="s">
        <v>235</v>
      </c>
      <c r="L32" s="18" t="s">
        <v>55</v>
      </c>
      <c r="M32" s="18">
        <v>2</v>
      </c>
      <c r="N32" s="18">
        <v>10.7</v>
      </c>
      <c r="O32" s="18">
        <v>0.3</v>
      </c>
      <c r="P32" s="18" t="s">
        <v>237</v>
      </c>
      <c r="Q32" s="18">
        <f>SUBTOTAL(103,ProductSelectionGrid[[#This Row],[Brand]])</f>
        <v>1</v>
      </c>
      <c r="W32" s="2"/>
    </row>
    <row r="33" spans="1:28" x14ac:dyDescent="0.25">
      <c r="A33" s="16" t="s">
        <v>0</v>
      </c>
      <c r="B33" s="16" t="s">
        <v>37</v>
      </c>
      <c r="C33" s="16" t="s">
        <v>12</v>
      </c>
      <c r="D33" s="16" t="s">
        <v>6</v>
      </c>
      <c r="E33" s="16" t="s">
        <v>9</v>
      </c>
      <c r="F33" s="16" t="s">
        <v>34</v>
      </c>
      <c r="G33" s="16" t="s">
        <v>39</v>
      </c>
      <c r="H33" s="16">
        <v>3</v>
      </c>
      <c r="I33" s="16">
        <v>2025</v>
      </c>
      <c r="J33" s="17" t="s">
        <v>47</v>
      </c>
      <c r="K33" s="16" t="s">
        <v>235</v>
      </c>
      <c r="L33" s="16" t="s">
        <v>80</v>
      </c>
      <c r="M33" s="16">
        <v>2</v>
      </c>
      <c r="N33" s="16">
        <v>11.73</v>
      </c>
      <c r="O33" s="16">
        <v>0.3</v>
      </c>
      <c r="P33" s="16" t="s">
        <v>238</v>
      </c>
      <c r="Q33" s="16">
        <f>SUBTOTAL(103,ProductSelectionGrid[[#This Row],[Brand]])</f>
        <v>1</v>
      </c>
      <c r="U33" s="2"/>
      <c r="W33" s="2"/>
    </row>
    <row r="34" spans="1:28" x14ac:dyDescent="0.25">
      <c r="A34" s="16" t="s">
        <v>0</v>
      </c>
      <c r="B34" s="16" t="s">
        <v>37</v>
      </c>
      <c r="C34" s="16" t="s">
        <v>12</v>
      </c>
      <c r="D34" s="16" t="s">
        <v>6</v>
      </c>
      <c r="E34" s="16" t="s">
        <v>9</v>
      </c>
      <c r="F34" s="16" t="s">
        <v>106</v>
      </c>
      <c r="G34" s="16" t="s">
        <v>39</v>
      </c>
      <c r="H34" s="16">
        <v>3</v>
      </c>
      <c r="I34" s="16">
        <v>2025</v>
      </c>
      <c r="J34" s="17" t="s">
        <v>107</v>
      </c>
      <c r="K34" s="16" t="s">
        <v>235</v>
      </c>
      <c r="L34" s="16" t="s">
        <v>95</v>
      </c>
      <c r="M34" s="16">
        <v>2</v>
      </c>
      <c r="N34" s="16">
        <v>10.07</v>
      </c>
      <c r="O34" s="16">
        <v>0.3</v>
      </c>
      <c r="P34" s="16" t="s">
        <v>239</v>
      </c>
      <c r="Q34" s="16">
        <f>SUBTOTAL(103,ProductSelectionGrid[[#This Row],[Brand]])</f>
        <v>1</v>
      </c>
      <c r="U34" s="2"/>
      <c r="W34" s="2"/>
    </row>
    <row r="35" spans="1:28" x14ac:dyDescent="0.25">
      <c r="A35" s="16" t="s">
        <v>99</v>
      </c>
      <c r="B35" s="16" t="s">
        <v>100</v>
      </c>
      <c r="C35" s="16" t="s">
        <v>12</v>
      </c>
      <c r="D35" s="16" t="s">
        <v>6</v>
      </c>
      <c r="E35" s="16" t="s">
        <v>9</v>
      </c>
      <c r="F35" s="16" t="s">
        <v>24</v>
      </c>
      <c r="G35" s="16" t="s">
        <v>40</v>
      </c>
      <c r="H35" s="18">
        <v>2</v>
      </c>
      <c r="I35" s="16">
        <v>2025</v>
      </c>
      <c r="J35" s="17" t="s">
        <v>101</v>
      </c>
      <c r="K35" s="18" t="s">
        <v>235</v>
      </c>
      <c r="L35" s="18" t="s">
        <v>98</v>
      </c>
      <c r="M35" s="18">
        <v>2</v>
      </c>
      <c r="N35" s="18">
        <v>10.89</v>
      </c>
      <c r="O35" s="18">
        <v>0.3</v>
      </c>
      <c r="P35" s="18" t="s">
        <v>237</v>
      </c>
      <c r="Q35" s="18">
        <f>SUBTOTAL(103,ProductSelectionGrid[[#This Row],[Brand]])</f>
        <v>1</v>
      </c>
      <c r="U35" s="2"/>
      <c r="W35" s="2"/>
    </row>
    <row r="36" spans="1:28" x14ac:dyDescent="0.25">
      <c r="A36" s="16" t="s">
        <v>99</v>
      </c>
      <c r="B36" s="16" t="s">
        <v>103</v>
      </c>
      <c r="C36" s="16" t="s">
        <v>12</v>
      </c>
      <c r="D36" s="16" t="s">
        <v>6</v>
      </c>
      <c r="E36" s="16" t="s">
        <v>9</v>
      </c>
      <c r="F36" s="16" t="s">
        <v>34</v>
      </c>
      <c r="G36" s="16" t="s">
        <v>39</v>
      </c>
      <c r="H36" s="16">
        <v>3</v>
      </c>
      <c r="I36" s="16">
        <v>2025</v>
      </c>
      <c r="J36" s="17" t="s">
        <v>104</v>
      </c>
      <c r="K36" s="16" t="s">
        <v>235</v>
      </c>
      <c r="L36" s="16" t="s">
        <v>102</v>
      </c>
      <c r="M36" s="16">
        <v>2</v>
      </c>
      <c r="N36" s="16">
        <v>11.73</v>
      </c>
      <c r="O36" s="16">
        <v>0.3</v>
      </c>
      <c r="P36" s="16" t="s">
        <v>238</v>
      </c>
      <c r="Q36" s="16">
        <f>SUBTOTAL(103,ProductSelectionGrid[[#This Row],[Brand]])</f>
        <v>1</v>
      </c>
      <c r="U36" s="2"/>
      <c r="W36" s="2"/>
    </row>
    <row r="37" spans="1:28" x14ac:dyDescent="0.25">
      <c r="A37" s="16" t="s">
        <v>99</v>
      </c>
      <c r="B37" s="16" t="s">
        <v>100</v>
      </c>
      <c r="C37" s="16" t="s">
        <v>12</v>
      </c>
      <c r="D37" s="16" t="s">
        <v>6</v>
      </c>
      <c r="E37" s="16" t="s">
        <v>9</v>
      </c>
      <c r="F37" s="16" t="s">
        <v>106</v>
      </c>
      <c r="G37" s="16" t="s">
        <v>39</v>
      </c>
      <c r="H37" s="16">
        <v>3</v>
      </c>
      <c r="I37" s="16">
        <v>2025</v>
      </c>
      <c r="J37" s="17" t="s">
        <v>115</v>
      </c>
      <c r="K37" s="16" t="s">
        <v>235</v>
      </c>
      <c r="L37" s="16" t="s">
        <v>105</v>
      </c>
      <c r="M37" s="16">
        <v>2</v>
      </c>
      <c r="N37" s="16">
        <v>11.5</v>
      </c>
      <c r="O37" s="16">
        <v>0.3</v>
      </c>
      <c r="P37" s="16" t="s">
        <v>239</v>
      </c>
      <c r="Q37" s="16">
        <f>SUBTOTAL(103,ProductSelectionGrid[[#This Row],[Brand]])</f>
        <v>1</v>
      </c>
    </row>
    <row r="38" spans="1:28" x14ac:dyDescent="0.25">
      <c r="A38" s="16" t="s">
        <v>99</v>
      </c>
      <c r="B38" s="16" t="s">
        <v>103</v>
      </c>
      <c r="C38" s="16" t="s">
        <v>12</v>
      </c>
      <c r="D38" s="16" t="s">
        <v>6</v>
      </c>
      <c r="E38" s="16" t="s">
        <v>9</v>
      </c>
      <c r="F38" s="16" t="s">
        <v>106</v>
      </c>
      <c r="G38" s="16" t="s">
        <v>39</v>
      </c>
      <c r="H38" s="16">
        <v>3</v>
      </c>
      <c r="I38" s="16">
        <v>2025</v>
      </c>
      <c r="J38" s="17" t="s">
        <v>116</v>
      </c>
      <c r="K38" s="16" t="s">
        <v>235</v>
      </c>
      <c r="L38" s="16" t="s">
        <v>108</v>
      </c>
      <c r="M38" s="16">
        <v>2</v>
      </c>
      <c r="N38" s="16">
        <v>11.12</v>
      </c>
      <c r="O38" s="16">
        <v>0.3</v>
      </c>
      <c r="P38" s="16" t="s">
        <v>239</v>
      </c>
      <c r="Q38" s="16">
        <f>SUBTOTAL(103,ProductSelectionGrid[[#This Row],[Brand]])</f>
        <v>1</v>
      </c>
    </row>
    <row r="39" spans="1:28" x14ac:dyDescent="0.25">
      <c r="A39" s="16" t="s">
        <v>1</v>
      </c>
      <c r="B39" s="16" t="s">
        <v>224</v>
      </c>
      <c r="C39" s="16" t="s">
        <v>225</v>
      </c>
      <c r="D39" s="16" t="s">
        <v>6</v>
      </c>
      <c r="E39" s="16" t="s">
        <v>226</v>
      </c>
      <c r="F39" s="16" t="s">
        <v>106</v>
      </c>
      <c r="G39" s="16" t="s">
        <v>39</v>
      </c>
      <c r="H39" s="16">
        <v>3</v>
      </c>
      <c r="I39" s="16">
        <v>2024</v>
      </c>
      <c r="J39" s="17" t="s">
        <v>227</v>
      </c>
      <c r="K39" s="16" t="s">
        <v>235</v>
      </c>
      <c r="L39" s="16" t="s">
        <v>110</v>
      </c>
      <c r="M39" s="16">
        <v>1</v>
      </c>
      <c r="N39" s="16">
        <v>10.74</v>
      </c>
      <c r="O39" s="16">
        <v>0.3</v>
      </c>
      <c r="P39" s="16" t="s">
        <v>240</v>
      </c>
      <c r="Q39" s="16">
        <f>SUBTOTAL(103,ProductSelectionGrid[[#This Row],[Brand]])</f>
        <v>1</v>
      </c>
    </row>
    <row r="40" spans="1:28" x14ac:dyDescent="0.25">
      <c r="A40" s="16" t="s">
        <v>1</v>
      </c>
      <c r="B40" s="16" t="s">
        <v>224</v>
      </c>
      <c r="C40" s="16" t="s">
        <v>225</v>
      </c>
      <c r="D40" s="16" t="s">
        <v>6</v>
      </c>
      <c r="E40" s="16" t="s">
        <v>226</v>
      </c>
      <c r="F40" s="16" t="s">
        <v>10</v>
      </c>
      <c r="G40" s="16" t="s">
        <v>39</v>
      </c>
      <c r="H40" s="16">
        <v>3</v>
      </c>
      <c r="I40" s="16">
        <v>2024</v>
      </c>
      <c r="J40" s="17" t="s">
        <v>228</v>
      </c>
      <c r="K40" s="16" t="s">
        <v>235</v>
      </c>
      <c r="L40" s="16" t="s">
        <v>112</v>
      </c>
      <c r="M40" s="16">
        <v>1</v>
      </c>
      <c r="N40" s="16">
        <v>11.57</v>
      </c>
      <c r="O40" s="16">
        <v>0.3</v>
      </c>
      <c r="P40" s="16" t="s">
        <v>241</v>
      </c>
      <c r="Q40" s="16">
        <f>SUBTOTAL(103,ProductSelectionGrid[[#This Row],[Brand]])</f>
        <v>1</v>
      </c>
    </row>
    <row r="41" spans="1:28" x14ac:dyDescent="0.25">
      <c r="A41" s="16" t="s">
        <v>1</v>
      </c>
      <c r="B41" s="16" t="s">
        <v>224</v>
      </c>
      <c r="C41" s="16" t="s">
        <v>225</v>
      </c>
      <c r="D41" s="16" t="s">
        <v>6</v>
      </c>
      <c r="E41" s="16" t="s">
        <v>226</v>
      </c>
      <c r="F41" s="16" t="s">
        <v>24</v>
      </c>
      <c r="G41" s="16" t="s">
        <v>39</v>
      </c>
      <c r="H41" s="16">
        <v>3</v>
      </c>
      <c r="I41" s="16">
        <v>2024</v>
      </c>
      <c r="J41" s="17" t="s">
        <v>229</v>
      </c>
      <c r="K41" s="16" t="s">
        <v>235</v>
      </c>
      <c r="L41" s="16" t="s">
        <v>118</v>
      </c>
      <c r="M41" s="16">
        <v>1</v>
      </c>
      <c r="N41" s="16">
        <v>10.89</v>
      </c>
      <c r="O41" s="16">
        <v>0.3</v>
      </c>
      <c r="P41" s="16" t="s">
        <v>242</v>
      </c>
      <c r="Q41" s="16">
        <f>SUBTOTAL(103,ProductSelectionGrid[[#This Row],[Brand]])</f>
        <v>1</v>
      </c>
    </row>
    <row r="42" spans="1:28" x14ac:dyDescent="0.25">
      <c r="A42" s="16" t="s">
        <v>1</v>
      </c>
      <c r="B42" s="16" t="s">
        <v>224</v>
      </c>
      <c r="C42" s="16" t="s">
        <v>225</v>
      </c>
      <c r="D42" s="16" t="s">
        <v>6</v>
      </c>
      <c r="E42" s="16" t="s">
        <v>226</v>
      </c>
      <c r="F42" s="16" t="s">
        <v>34</v>
      </c>
      <c r="G42" s="16" t="s">
        <v>39</v>
      </c>
      <c r="H42" s="16">
        <v>3</v>
      </c>
      <c r="I42" s="16">
        <v>2024</v>
      </c>
      <c r="J42" s="17" t="s">
        <v>230</v>
      </c>
      <c r="K42" s="16" t="s">
        <v>235</v>
      </c>
      <c r="L42" s="16" t="s">
        <v>119</v>
      </c>
      <c r="M42" s="16">
        <v>1</v>
      </c>
      <c r="N42" s="16">
        <v>10.199999999999999</v>
      </c>
      <c r="O42" s="16">
        <v>0.3</v>
      </c>
      <c r="P42" s="16" t="s">
        <v>243</v>
      </c>
      <c r="Q42" s="16">
        <f>SUBTOTAL(103,ProductSelectionGrid[[#This Row],[Brand]])</f>
        <v>1</v>
      </c>
    </row>
    <row r="43" spans="1:28" x14ac:dyDescent="0.25">
      <c r="A43" s="16" t="s">
        <v>1</v>
      </c>
      <c r="B43" s="16" t="s">
        <v>35</v>
      </c>
      <c r="C43" s="16" t="s">
        <v>225</v>
      </c>
      <c r="D43" s="16" t="s">
        <v>6</v>
      </c>
      <c r="E43" s="16" t="s">
        <v>9</v>
      </c>
      <c r="F43" s="16" t="s">
        <v>106</v>
      </c>
      <c r="G43" s="16" t="s">
        <v>39</v>
      </c>
      <c r="H43" s="16">
        <v>3</v>
      </c>
      <c r="I43" s="16">
        <v>2025</v>
      </c>
      <c r="J43" s="17" t="s">
        <v>111</v>
      </c>
      <c r="K43" s="16" t="s">
        <v>235</v>
      </c>
      <c r="L43" s="16" t="s">
        <v>120</v>
      </c>
      <c r="M43" s="16">
        <v>1</v>
      </c>
      <c r="N43" s="16">
        <v>10.66</v>
      </c>
      <c r="O43" s="16">
        <v>0.3</v>
      </c>
      <c r="P43" s="16" t="s">
        <v>244</v>
      </c>
      <c r="Q43" s="16">
        <f>SUBTOTAL(103,ProductSelectionGrid[[#This Row],[Brand]])</f>
        <v>1</v>
      </c>
    </row>
    <row r="44" spans="1:28" x14ac:dyDescent="0.25">
      <c r="A44" s="16" t="s">
        <v>1</v>
      </c>
      <c r="B44" s="16" t="s">
        <v>35</v>
      </c>
      <c r="C44" s="16" t="s">
        <v>12</v>
      </c>
      <c r="D44" s="16" t="s">
        <v>6</v>
      </c>
      <c r="E44" s="16" t="s">
        <v>9</v>
      </c>
      <c r="F44" s="16" t="s">
        <v>34</v>
      </c>
      <c r="G44" s="16" t="s">
        <v>39</v>
      </c>
      <c r="H44" s="16">
        <v>3</v>
      </c>
      <c r="I44" s="16">
        <v>2025</v>
      </c>
      <c r="J44" s="17" t="s">
        <v>41</v>
      </c>
      <c r="K44" s="16" t="s">
        <v>235</v>
      </c>
      <c r="L44" s="16" t="s">
        <v>121</v>
      </c>
      <c r="M44" s="16">
        <v>1</v>
      </c>
      <c r="N44" s="16">
        <v>10.88</v>
      </c>
      <c r="O44" s="16">
        <v>0.3</v>
      </c>
      <c r="P44" s="16" t="s">
        <v>238</v>
      </c>
      <c r="Q44" s="16">
        <f>SUBTOTAL(103,ProductSelectionGrid[[#This Row],[Brand]])</f>
        <v>1</v>
      </c>
      <c r="T44" s="2"/>
    </row>
    <row r="45" spans="1:28" x14ac:dyDescent="0.25">
      <c r="A45" s="16" t="s">
        <v>1</v>
      </c>
      <c r="B45" s="16" t="s">
        <v>35</v>
      </c>
      <c r="C45" s="16" t="s">
        <v>12</v>
      </c>
      <c r="D45" s="16" t="s">
        <v>6</v>
      </c>
      <c r="E45" s="16" t="s">
        <v>9</v>
      </c>
      <c r="F45" s="16" t="s">
        <v>24</v>
      </c>
      <c r="G45" s="16" t="s">
        <v>40</v>
      </c>
      <c r="H45" s="18">
        <v>2</v>
      </c>
      <c r="I45" s="16">
        <v>2025</v>
      </c>
      <c r="J45" s="17" t="s">
        <v>46</v>
      </c>
      <c r="K45" s="18" t="s">
        <v>235</v>
      </c>
      <c r="L45" s="18" t="s">
        <v>223</v>
      </c>
      <c r="M45" s="18">
        <v>1</v>
      </c>
      <c r="N45" s="18">
        <v>11.34</v>
      </c>
      <c r="O45" s="18">
        <v>0.3</v>
      </c>
      <c r="P45" s="18" t="s">
        <v>237</v>
      </c>
      <c r="Q45" s="18">
        <f>SUBTOTAL(103,ProductSelectionGrid[[#This Row],[Brand]])</f>
        <v>1</v>
      </c>
      <c r="AB45" s="2"/>
    </row>
    <row r="46" spans="1:28" x14ac:dyDescent="0.25">
      <c r="A46" s="16" t="s">
        <v>1</v>
      </c>
      <c r="B46" s="16" t="s">
        <v>35</v>
      </c>
      <c r="C46" s="16" t="s">
        <v>12</v>
      </c>
      <c r="D46" s="16" t="s">
        <v>6</v>
      </c>
      <c r="E46" s="16" t="s">
        <v>9</v>
      </c>
      <c r="F46" s="16" t="s">
        <v>245</v>
      </c>
      <c r="G46" s="16" t="s">
        <v>39</v>
      </c>
      <c r="H46" s="16">
        <v>3</v>
      </c>
      <c r="I46" s="16">
        <v>2023</v>
      </c>
      <c r="J46" s="17" t="s">
        <v>246</v>
      </c>
      <c r="K46" s="16" t="s">
        <v>235</v>
      </c>
      <c r="L46" s="16" t="s">
        <v>247</v>
      </c>
      <c r="M46" s="16">
        <v>1</v>
      </c>
      <c r="N46" s="16">
        <v>10.43</v>
      </c>
      <c r="O46" s="16">
        <v>0.3</v>
      </c>
      <c r="P46" s="16" t="s">
        <v>248</v>
      </c>
      <c r="Q46" s="16">
        <f>SUBTOTAL(103,ProductSelectionGrid[[#This Row],[Brand]])</f>
        <v>1</v>
      </c>
    </row>
    <row r="47" spans="1:28" x14ac:dyDescent="0.25">
      <c r="A47" s="16" t="s">
        <v>2</v>
      </c>
      <c r="B47" s="16" t="s">
        <v>38</v>
      </c>
      <c r="C47" s="16" t="s">
        <v>12</v>
      </c>
      <c r="D47" s="16" t="s">
        <v>6</v>
      </c>
      <c r="E47" s="16" t="s">
        <v>9</v>
      </c>
      <c r="F47" s="16" t="s">
        <v>245</v>
      </c>
      <c r="G47" s="16" t="s">
        <v>39</v>
      </c>
      <c r="H47" s="16">
        <v>3</v>
      </c>
      <c r="I47" s="16">
        <v>2025</v>
      </c>
      <c r="J47" s="17" t="s">
        <v>249</v>
      </c>
      <c r="K47" s="16" t="s">
        <v>235</v>
      </c>
      <c r="L47" s="16" t="s">
        <v>250</v>
      </c>
      <c r="M47" s="16">
        <v>2</v>
      </c>
      <c r="N47" s="16">
        <v>10.49</v>
      </c>
      <c r="O47" s="16">
        <v>0.3</v>
      </c>
      <c r="P47" s="16" t="s">
        <v>251</v>
      </c>
      <c r="Q47" s="16">
        <f>SUBTOTAL(103,ProductSelectionGrid[[#This Row],[Brand]])</f>
        <v>1</v>
      </c>
    </row>
    <row r="48" spans="1:28" x14ac:dyDescent="0.25">
      <c r="A48" s="16" t="s">
        <v>99</v>
      </c>
      <c r="B48" s="16" t="s">
        <v>267</v>
      </c>
      <c r="C48" s="16" t="s">
        <v>225</v>
      </c>
      <c r="D48" s="16" t="s">
        <v>6</v>
      </c>
      <c r="E48" s="16" t="s">
        <v>226</v>
      </c>
      <c r="F48" s="16" t="s">
        <v>106</v>
      </c>
      <c r="G48" s="16" t="s">
        <v>39</v>
      </c>
      <c r="H48" s="16">
        <v>3</v>
      </c>
      <c r="I48" s="16">
        <v>2025</v>
      </c>
      <c r="J48" s="17" t="s">
        <v>268</v>
      </c>
      <c r="K48" s="16" t="s">
        <v>235</v>
      </c>
      <c r="L48" s="16" t="s">
        <v>270</v>
      </c>
      <c r="M48" s="16">
        <v>2</v>
      </c>
      <c r="N48" s="16">
        <v>11.26</v>
      </c>
      <c r="O48" s="16">
        <v>0.3</v>
      </c>
      <c r="P48" s="16" t="s">
        <v>271</v>
      </c>
      <c r="Q48" s="16">
        <f>SUBTOTAL(103,ProductSelectionGrid[[#This Row],[Brand]])</f>
        <v>1</v>
      </c>
    </row>
    <row r="62" spans="34:46" x14ac:dyDescent="0.25">
      <c r="AH62" s="1"/>
      <c r="AI62" s="1"/>
      <c r="AJ62" s="1"/>
      <c r="AK62" s="1"/>
      <c r="AL62" s="1"/>
      <c r="AM62" s="1"/>
      <c r="AN62" s="1"/>
      <c r="AO62" s="1"/>
      <c r="AP62" s="1"/>
      <c r="AQ62" s="1"/>
      <c r="AR62" s="1"/>
      <c r="AS62" s="1"/>
      <c r="AT62" s="1"/>
    </row>
  </sheetData>
  <phoneticPr fontId="2" type="noConversion"/>
  <pageMargins left="0.7" right="0.7" top="0.75" bottom="0.75" header="0.3" footer="0.3"/>
  <drawing r:id="rId1"/>
  <tableParts count="2">
    <tablePart r:id="rId2"/>
    <tablePart r:id="rId3"/>
  </tableParts>
  <extLst>
    <ext xmlns:x15="http://schemas.microsoft.com/office/spreadsheetml/2010/11/main" uri="{3A4CF648-6AED-40f4-86FF-DC5316D8AED3}">
      <x14:slicerList xmlns:x14="http://schemas.microsoft.com/office/spreadsheetml/2009/9/main">
        <x14:slicer r:id="rId4"/>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D2F73D-5DEB-4FCB-8EA0-2543C5CF1379}">
  <sheetPr codeName="Sheet3"/>
  <dimension ref="A3:Z79"/>
  <sheetViews>
    <sheetView showGridLines="0" topLeftCell="A4" zoomScaleNormal="100" workbookViewId="0">
      <selection activeCell="N41" sqref="N41"/>
    </sheetView>
  </sheetViews>
  <sheetFormatPr defaultRowHeight="15" x14ac:dyDescent="0.25"/>
  <cols>
    <col min="1" max="1" width="11.85546875" style="1" bestFit="1" customWidth="1"/>
    <col min="2" max="2" width="16.7109375" style="1" hidden="1" customWidth="1"/>
    <col min="3" max="3" width="24.5703125" style="1" bestFit="1" customWidth="1"/>
    <col min="4" max="4" width="19.5703125" style="1" bestFit="1" customWidth="1"/>
    <col min="5" max="5" width="21" style="1" hidden="1" customWidth="1"/>
    <col min="6" max="6" width="19" style="1" hidden="1" customWidth="1"/>
    <col min="7" max="7" width="18.140625" style="1" hidden="1" customWidth="1"/>
    <col min="8" max="8" width="22.28515625" style="1" hidden="1" customWidth="1"/>
    <col min="9" max="9" width="19.7109375" style="1" hidden="1" customWidth="1"/>
    <col min="10" max="10" width="21.5703125" style="1" hidden="1" customWidth="1"/>
    <col min="11" max="11" width="40.42578125" style="1" bestFit="1" customWidth="1"/>
    <col min="12" max="12" width="28.28515625" style="1" hidden="1" customWidth="1"/>
    <col min="13" max="13" width="19.7109375" style="1" hidden="1" customWidth="1"/>
    <col min="14" max="14" width="18.140625" style="1" bestFit="1" customWidth="1"/>
    <col min="15" max="15" width="20.28515625" style="1" hidden="1" customWidth="1"/>
    <col min="16" max="16" width="5.28515625" style="1" hidden="1" customWidth="1"/>
    <col min="17" max="17" width="14.140625" style="1" hidden="1" customWidth="1"/>
    <col min="18" max="18" width="13.7109375" style="1" hidden="1" customWidth="1"/>
    <col min="19" max="19" width="14.5703125" style="1" hidden="1" customWidth="1"/>
    <col min="20" max="20" width="18.5703125" style="1" hidden="1" customWidth="1"/>
    <col min="21" max="21" width="15.140625" style="1" hidden="1" customWidth="1"/>
    <col min="22" max="22" width="15.7109375" style="1" hidden="1" customWidth="1"/>
    <col min="23" max="23" width="10.42578125" style="1" hidden="1" customWidth="1"/>
    <col min="24" max="24" width="20.85546875" style="1" hidden="1" customWidth="1"/>
    <col min="25" max="25" width="20.42578125" style="1" hidden="1" customWidth="1"/>
    <col min="26" max="26" width="9.42578125" style="1" hidden="1" customWidth="1"/>
    <col min="27" max="27" width="20.85546875" style="1" bestFit="1" customWidth="1"/>
    <col min="28" max="28" width="20.42578125" style="1" bestFit="1" customWidth="1"/>
    <col min="29" max="29" width="9.42578125" style="1" bestFit="1" customWidth="1"/>
    <col min="30" max="30" width="20.42578125" style="1" customWidth="1"/>
    <col min="31" max="32" width="9.42578125" style="1" customWidth="1"/>
    <col min="33" max="16384" width="9.140625" style="1"/>
  </cols>
  <sheetData>
    <row r="3" ht="15" customHeight="1" x14ac:dyDescent="0.25"/>
    <row r="4" ht="15" customHeight="1" x14ac:dyDescent="0.25"/>
    <row r="5" ht="15" customHeight="1" x14ac:dyDescent="0.25"/>
    <row r="24" spans="1:26" x14ac:dyDescent="0.25">
      <c r="A24" s="14" t="s">
        <v>14</v>
      </c>
      <c r="B24" s="4" t="s">
        <v>125</v>
      </c>
      <c r="C24" s="14" t="s">
        <v>58</v>
      </c>
      <c r="D24" s="14" t="s">
        <v>126</v>
      </c>
      <c r="E24" s="4" t="s">
        <v>127</v>
      </c>
      <c r="F24" s="4" t="s">
        <v>128</v>
      </c>
      <c r="G24" s="4" t="s">
        <v>252</v>
      </c>
      <c r="H24" s="4" t="s">
        <v>253</v>
      </c>
      <c r="I24" s="4" t="s">
        <v>122</v>
      </c>
      <c r="J24" s="4" t="s">
        <v>123</v>
      </c>
      <c r="K24" s="14" t="s">
        <v>13</v>
      </c>
      <c r="L24" s="4" t="s">
        <v>129</v>
      </c>
      <c r="M24" s="4" t="s">
        <v>72</v>
      </c>
      <c r="N24" s="14" t="s">
        <v>82</v>
      </c>
      <c r="O24" s="23" t="s">
        <v>130</v>
      </c>
      <c r="P24" s="23" t="s">
        <v>131</v>
      </c>
      <c r="Q24" s="23" t="s">
        <v>83</v>
      </c>
      <c r="R24" s="23" t="s">
        <v>69</v>
      </c>
      <c r="S24" s="23" t="s">
        <v>29</v>
      </c>
      <c r="T24" s="23" t="s">
        <v>68</v>
      </c>
      <c r="U24" s="23" t="s">
        <v>30</v>
      </c>
      <c r="V24" s="23" t="s">
        <v>70</v>
      </c>
      <c r="W24" s="23" t="s">
        <v>71</v>
      </c>
      <c r="X24" s="23" t="s">
        <v>73</v>
      </c>
      <c r="Y24" s="23" t="s">
        <v>74</v>
      </c>
      <c r="Z24" s="23" t="s">
        <v>57</v>
      </c>
    </row>
    <row r="25" spans="1:26" hidden="1" x14ac:dyDescent="0.25">
      <c r="A25" s="12" t="s">
        <v>67</v>
      </c>
      <c r="B25" s="12">
        <v>7</v>
      </c>
      <c r="C25" s="12" t="s">
        <v>18</v>
      </c>
      <c r="D25" s="12" t="s">
        <v>19</v>
      </c>
      <c r="E25" s="12" t="s">
        <v>135</v>
      </c>
      <c r="F25" s="12" t="s">
        <v>139</v>
      </c>
      <c r="G25" s="10" t="s">
        <v>139</v>
      </c>
      <c r="H25" s="10" t="s">
        <v>19</v>
      </c>
      <c r="I25" s="12">
        <v>2</v>
      </c>
      <c r="J25" s="12">
        <v>4</v>
      </c>
      <c r="K25" s="12" t="s">
        <v>140</v>
      </c>
      <c r="L25" s="12" t="s">
        <v>140</v>
      </c>
      <c r="M25" s="12" t="s">
        <v>78</v>
      </c>
      <c r="N25" s="12" t="s">
        <v>138</v>
      </c>
      <c r="O25" s="12"/>
      <c r="P25" s="12"/>
      <c r="Q25" s="12"/>
      <c r="R25" s="12"/>
      <c r="S25" s="12"/>
      <c r="T25" s="12"/>
      <c r="U25" s="12"/>
      <c r="V25" s="12"/>
      <c r="W25" s="12"/>
      <c r="X25" s="12"/>
      <c r="Y25" s="12"/>
      <c r="Z25" s="12">
        <f>SUBTOTAL(103,dTestIDdirectory[[#This Row],[Test Name]])</f>
        <v>0</v>
      </c>
    </row>
    <row r="26" spans="1:26" hidden="1" x14ac:dyDescent="0.25">
      <c r="A26" s="13" t="s">
        <v>89</v>
      </c>
      <c r="B26" s="13">
        <v>13</v>
      </c>
      <c r="C26" s="13" t="s">
        <v>18</v>
      </c>
      <c r="D26" s="13" t="s">
        <v>19</v>
      </c>
      <c r="E26" s="13" t="s">
        <v>135</v>
      </c>
      <c r="F26" s="13" t="s">
        <v>148</v>
      </c>
      <c r="G26" s="15" t="s">
        <v>139</v>
      </c>
      <c r="H26" s="15" t="s">
        <v>19</v>
      </c>
      <c r="I26" s="13">
        <v>3</v>
      </c>
      <c r="J26" s="13">
        <v>4</v>
      </c>
      <c r="K26" s="13" t="s">
        <v>149</v>
      </c>
      <c r="L26" s="13" t="s">
        <v>149</v>
      </c>
      <c r="M26" s="13" t="s">
        <v>78</v>
      </c>
      <c r="N26" s="13" t="s">
        <v>138</v>
      </c>
      <c r="O26" s="13"/>
      <c r="P26" s="13"/>
      <c r="Q26" s="13"/>
      <c r="R26" s="13"/>
      <c r="S26" s="13"/>
      <c r="T26" s="13"/>
      <c r="U26" s="13"/>
      <c r="V26" s="13"/>
      <c r="W26" s="13"/>
      <c r="X26" s="13"/>
      <c r="Y26" s="13"/>
      <c r="Z26" s="13">
        <f>SUBTOTAL(103,dTestIDdirectory[[#This Row],[Test Name]])</f>
        <v>0</v>
      </c>
    </row>
    <row r="27" spans="1:26" hidden="1" x14ac:dyDescent="0.25">
      <c r="A27" s="22" t="s">
        <v>169</v>
      </c>
      <c r="B27" s="5">
        <v>24</v>
      </c>
      <c r="C27" s="22" t="s">
        <v>18</v>
      </c>
      <c r="D27" s="22" t="s">
        <v>19</v>
      </c>
      <c r="E27" s="5" t="s">
        <v>132</v>
      </c>
      <c r="F27" s="5" t="s">
        <v>154</v>
      </c>
      <c r="G27" s="5" t="s">
        <v>139</v>
      </c>
      <c r="H27" s="5" t="s">
        <v>19</v>
      </c>
      <c r="I27" s="5">
        <v>4</v>
      </c>
      <c r="J27" s="5">
        <v>4</v>
      </c>
      <c r="K27" s="22" t="s">
        <v>170</v>
      </c>
      <c r="L27" s="5" t="s">
        <v>170</v>
      </c>
      <c r="M27" s="5" t="s">
        <v>78</v>
      </c>
      <c r="N27" s="22" t="s">
        <v>138</v>
      </c>
      <c r="O27"/>
      <c r="P27"/>
      <c r="Q27"/>
      <c r="R27"/>
      <c r="S27"/>
      <c r="T27"/>
      <c r="U27"/>
      <c r="V27"/>
      <c r="W27"/>
      <c r="X27"/>
      <c r="Y27"/>
      <c r="Z27">
        <f>SUBTOTAL(103,dTestIDdirectory[[#This Row],[Test Name]])</f>
        <v>0</v>
      </c>
    </row>
    <row r="28" spans="1:26" hidden="1" x14ac:dyDescent="0.25">
      <c r="A28" s="22" t="s">
        <v>171</v>
      </c>
      <c r="B28" s="5">
        <v>25</v>
      </c>
      <c r="C28" s="22" t="s">
        <v>18</v>
      </c>
      <c r="D28" s="22" t="s">
        <v>19</v>
      </c>
      <c r="E28" s="5" t="s">
        <v>132</v>
      </c>
      <c r="F28" s="5" t="s">
        <v>156</v>
      </c>
      <c r="G28" s="5" t="s">
        <v>139</v>
      </c>
      <c r="H28" s="5" t="s">
        <v>19</v>
      </c>
      <c r="I28" s="5">
        <v>4</v>
      </c>
      <c r="J28" s="5">
        <v>4</v>
      </c>
      <c r="K28" s="22" t="s">
        <v>172</v>
      </c>
      <c r="L28" s="5" t="s">
        <v>172</v>
      </c>
      <c r="M28" s="5" t="s">
        <v>78</v>
      </c>
      <c r="N28" s="22" t="s">
        <v>138</v>
      </c>
      <c r="O28"/>
      <c r="P28"/>
      <c r="Q28"/>
      <c r="R28"/>
      <c r="S28"/>
      <c r="T28"/>
      <c r="U28"/>
      <c r="V28"/>
      <c r="W28"/>
      <c r="X28"/>
      <c r="Y28"/>
      <c r="Z28">
        <f>SUBTOTAL(103,dTestIDdirectory[[#This Row],[Test Name]])</f>
        <v>0</v>
      </c>
    </row>
    <row r="29" spans="1:26" hidden="1" x14ac:dyDescent="0.25">
      <c r="A29" s="12" t="s">
        <v>124</v>
      </c>
      <c r="B29" s="12">
        <v>10</v>
      </c>
      <c r="C29" s="12" t="s">
        <v>18</v>
      </c>
      <c r="D29" s="12" t="s">
        <v>19</v>
      </c>
      <c r="E29" s="12" t="s">
        <v>135</v>
      </c>
      <c r="F29" s="12" t="s">
        <v>144</v>
      </c>
      <c r="G29" s="10" t="s">
        <v>139</v>
      </c>
      <c r="H29" s="10" t="s">
        <v>19</v>
      </c>
      <c r="I29" s="12">
        <v>3</v>
      </c>
      <c r="J29" s="12">
        <v>4</v>
      </c>
      <c r="K29" s="12" t="s">
        <v>145</v>
      </c>
      <c r="L29" s="12" t="s">
        <v>145</v>
      </c>
      <c r="M29" s="12" t="s">
        <v>78</v>
      </c>
      <c r="N29" s="12" t="s">
        <v>138</v>
      </c>
      <c r="O29" s="12"/>
      <c r="P29" s="12"/>
      <c r="Q29" s="12"/>
      <c r="R29" s="12"/>
      <c r="S29" s="12"/>
      <c r="T29" s="12"/>
      <c r="U29" s="12"/>
      <c r="V29" s="12"/>
      <c r="W29" s="12"/>
      <c r="X29" s="12"/>
      <c r="Y29" s="12"/>
      <c r="Z29" s="12">
        <f>SUBTOTAL(103,dTestIDdirectory[[#This Row],[Test Name]])</f>
        <v>0</v>
      </c>
    </row>
    <row r="30" spans="1:26" hidden="1" x14ac:dyDescent="0.25">
      <c r="A30" s="22" t="s">
        <v>173</v>
      </c>
      <c r="B30" s="5">
        <v>26</v>
      </c>
      <c r="C30" s="22" t="s">
        <v>18</v>
      </c>
      <c r="D30" s="22" t="s">
        <v>19</v>
      </c>
      <c r="E30" s="5" t="s">
        <v>132</v>
      </c>
      <c r="F30" s="5" t="s">
        <v>154</v>
      </c>
      <c r="G30" s="5" t="s">
        <v>139</v>
      </c>
      <c r="H30" s="5" t="s">
        <v>19</v>
      </c>
      <c r="I30" s="5">
        <v>4</v>
      </c>
      <c r="J30" s="5">
        <v>4</v>
      </c>
      <c r="K30" s="22" t="s">
        <v>174</v>
      </c>
      <c r="L30" s="5" t="s">
        <v>174</v>
      </c>
      <c r="M30" s="5" t="s">
        <v>78</v>
      </c>
      <c r="N30" s="22" t="s">
        <v>138</v>
      </c>
      <c r="O30"/>
      <c r="P30"/>
      <c r="Q30"/>
      <c r="R30"/>
      <c r="S30"/>
      <c r="T30"/>
      <c r="U30"/>
      <c r="V30"/>
      <c r="W30"/>
      <c r="X30"/>
      <c r="Y30"/>
      <c r="Z30">
        <f>SUBTOTAL(103,dTestIDdirectory[[#This Row],[Test Name]])</f>
        <v>0</v>
      </c>
    </row>
    <row r="31" spans="1:26" hidden="1" x14ac:dyDescent="0.25">
      <c r="A31" s="22" t="s">
        <v>175</v>
      </c>
      <c r="B31" s="5">
        <v>27</v>
      </c>
      <c r="C31" s="22" t="s">
        <v>18</v>
      </c>
      <c r="D31" s="22" t="s">
        <v>19</v>
      </c>
      <c r="E31" s="5" t="s">
        <v>132</v>
      </c>
      <c r="F31" s="5" t="s">
        <v>156</v>
      </c>
      <c r="G31" s="5" t="s">
        <v>139</v>
      </c>
      <c r="H31" s="5" t="s">
        <v>19</v>
      </c>
      <c r="I31" s="5">
        <v>4</v>
      </c>
      <c r="J31" s="5">
        <v>4</v>
      </c>
      <c r="K31" s="22" t="s">
        <v>176</v>
      </c>
      <c r="L31" s="5" t="s">
        <v>176</v>
      </c>
      <c r="M31" s="5" t="s">
        <v>78</v>
      </c>
      <c r="N31" s="22" t="s">
        <v>138</v>
      </c>
      <c r="O31"/>
      <c r="P31"/>
      <c r="Q31"/>
      <c r="R31"/>
      <c r="S31"/>
      <c r="T31"/>
      <c r="U31"/>
      <c r="V31"/>
      <c r="W31"/>
      <c r="X31"/>
      <c r="Y31"/>
      <c r="Z31">
        <f>SUBTOTAL(103,dTestIDdirectory[[#This Row],[Test Name]])</f>
        <v>0</v>
      </c>
    </row>
    <row r="32" spans="1:26" hidden="1" x14ac:dyDescent="0.25">
      <c r="A32" s="13" t="s">
        <v>84</v>
      </c>
      <c r="B32" s="13">
        <v>8</v>
      </c>
      <c r="C32" s="13" t="s">
        <v>18</v>
      </c>
      <c r="D32" s="13" t="s">
        <v>19</v>
      </c>
      <c r="E32" s="13" t="s">
        <v>135</v>
      </c>
      <c r="F32" s="13" t="s">
        <v>141</v>
      </c>
      <c r="G32" s="15" t="s">
        <v>141</v>
      </c>
      <c r="H32" s="15" t="s">
        <v>19</v>
      </c>
      <c r="I32" s="13">
        <v>2</v>
      </c>
      <c r="J32" s="13">
        <v>4</v>
      </c>
      <c r="K32" s="13" t="s">
        <v>142</v>
      </c>
      <c r="L32" s="13" t="s">
        <v>142</v>
      </c>
      <c r="M32" s="13" t="s">
        <v>78</v>
      </c>
      <c r="N32" s="13" t="s">
        <v>138</v>
      </c>
      <c r="O32" s="13"/>
      <c r="P32" s="13"/>
      <c r="Q32" s="13"/>
      <c r="R32" s="13"/>
      <c r="S32" s="13"/>
      <c r="T32" s="13"/>
      <c r="U32" s="13"/>
      <c r="V32" s="13"/>
      <c r="W32" s="13"/>
      <c r="X32" s="13"/>
      <c r="Y32" s="13"/>
      <c r="Z32" s="13">
        <f>SUBTOTAL(103,dTestIDdirectory[[#This Row],[Test Name]])</f>
        <v>0</v>
      </c>
    </row>
    <row r="33" spans="1:26" hidden="1" x14ac:dyDescent="0.25">
      <c r="A33" s="12" t="s">
        <v>90</v>
      </c>
      <c r="B33" s="12">
        <v>14</v>
      </c>
      <c r="C33" s="12" t="s">
        <v>18</v>
      </c>
      <c r="D33" s="12" t="s">
        <v>19</v>
      </c>
      <c r="E33" s="12" t="s">
        <v>135</v>
      </c>
      <c r="F33" s="12" t="s">
        <v>148</v>
      </c>
      <c r="G33" s="10" t="s">
        <v>141</v>
      </c>
      <c r="H33" s="10" t="s">
        <v>19</v>
      </c>
      <c r="I33" s="12">
        <v>3</v>
      </c>
      <c r="J33" s="12">
        <v>4</v>
      </c>
      <c r="K33" s="12" t="s">
        <v>150</v>
      </c>
      <c r="L33" s="12" t="s">
        <v>150</v>
      </c>
      <c r="M33" s="12" t="s">
        <v>78</v>
      </c>
      <c r="N33" s="12" t="s">
        <v>138</v>
      </c>
      <c r="O33" s="12"/>
      <c r="P33" s="12"/>
      <c r="Q33" s="12"/>
      <c r="R33" s="12"/>
      <c r="S33" s="12"/>
      <c r="T33" s="12"/>
      <c r="U33" s="12"/>
      <c r="V33" s="12"/>
      <c r="W33" s="12"/>
      <c r="X33" s="12"/>
      <c r="Y33" s="12"/>
      <c r="Z33" s="12">
        <f>SUBTOTAL(103,dTestIDdirectory[[#This Row],[Test Name]])</f>
        <v>0</v>
      </c>
    </row>
    <row r="34" spans="1:26" hidden="1" x14ac:dyDescent="0.25">
      <c r="A34" s="22" t="s">
        <v>161</v>
      </c>
      <c r="B34" s="5">
        <v>20</v>
      </c>
      <c r="C34" s="22" t="s">
        <v>18</v>
      </c>
      <c r="D34" s="22" t="s">
        <v>19</v>
      </c>
      <c r="E34" s="5" t="s">
        <v>132</v>
      </c>
      <c r="F34" s="5" t="s">
        <v>154</v>
      </c>
      <c r="G34" s="5" t="s">
        <v>141</v>
      </c>
      <c r="H34" s="5" t="s">
        <v>19</v>
      </c>
      <c r="I34" s="5">
        <v>4</v>
      </c>
      <c r="J34" s="5">
        <v>4</v>
      </c>
      <c r="K34" s="22" t="s">
        <v>162</v>
      </c>
      <c r="L34" s="5" t="s">
        <v>162</v>
      </c>
      <c r="M34" s="5" t="s">
        <v>78</v>
      </c>
      <c r="N34" s="22" t="s">
        <v>138</v>
      </c>
      <c r="O34"/>
      <c r="P34"/>
      <c r="Q34"/>
      <c r="R34"/>
      <c r="S34"/>
      <c r="T34"/>
      <c r="U34"/>
      <c r="V34"/>
      <c r="W34"/>
      <c r="X34"/>
      <c r="Y34"/>
      <c r="Z34">
        <f>SUBTOTAL(103,dTestIDdirectory[[#This Row],[Test Name]])</f>
        <v>0</v>
      </c>
    </row>
    <row r="35" spans="1:26" hidden="1" x14ac:dyDescent="0.25">
      <c r="A35" s="22" t="s">
        <v>163</v>
      </c>
      <c r="B35" s="5">
        <v>21</v>
      </c>
      <c r="C35" s="22" t="s">
        <v>18</v>
      </c>
      <c r="D35" s="22" t="s">
        <v>19</v>
      </c>
      <c r="E35" s="5" t="s">
        <v>132</v>
      </c>
      <c r="F35" s="5" t="s">
        <v>156</v>
      </c>
      <c r="G35" s="5" t="s">
        <v>141</v>
      </c>
      <c r="H35" s="5" t="s">
        <v>19</v>
      </c>
      <c r="I35" s="5">
        <v>4</v>
      </c>
      <c r="J35" s="5">
        <v>4</v>
      </c>
      <c r="K35" s="22" t="s">
        <v>164</v>
      </c>
      <c r="L35" s="5" t="s">
        <v>164</v>
      </c>
      <c r="M35" s="5" t="s">
        <v>78</v>
      </c>
      <c r="N35" s="22" t="s">
        <v>138</v>
      </c>
      <c r="O35"/>
      <c r="P35"/>
      <c r="Q35"/>
      <c r="R35"/>
      <c r="S35"/>
      <c r="T35"/>
      <c r="U35"/>
      <c r="V35"/>
      <c r="W35"/>
      <c r="X35"/>
      <c r="Y35"/>
      <c r="Z35">
        <f>SUBTOTAL(103,dTestIDdirectory[[#This Row],[Test Name]])</f>
        <v>0</v>
      </c>
    </row>
    <row r="36" spans="1:26" hidden="1" x14ac:dyDescent="0.25">
      <c r="A36" s="13" t="s">
        <v>87</v>
      </c>
      <c r="B36" s="13">
        <v>11</v>
      </c>
      <c r="C36" s="13" t="s">
        <v>18</v>
      </c>
      <c r="D36" s="13" t="s">
        <v>19</v>
      </c>
      <c r="E36" s="13" t="s">
        <v>135</v>
      </c>
      <c r="F36" s="13" t="s">
        <v>144</v>
      </c>
      <c r="G36" s="15" t="s">
        <v>141</v>
      </c>
      <c r="H36" s="15" t="s">
        <v>19</v>
      </c>
      <c r="I36" s="13">
        <v>3</v>
      </c>
      <c r="J36" s="13">
        <v>4</v>
      </c>
      <c r="K36" s="13" t="s">
        <v>146</v>
      </c>
      <c r="L36" s="13" t="s">
        <v>146</v>
      </c>
      <c r="M36" s="13" t="s">
        <v>78</v>
      </c>
      <c r="N36" s="13" t="s">
        <v>138</v>
      </c>
      <c r="O36" s="13"/>
      <c r="P36" s="13"/>
      <c r="Q36" s="13"/>
      <c r="R36" s="13"/>
      <c r="S36" s="13"/>
      <c r="T36" s="13"/>
      <c r="U36" s="13"/>
      <c r="V36" s="13"/>
      <c r="W36" s="13"/>
      <c r="X36" s="13"/>
      <c r="Y36" s="13"/>
      <c r="Z36" s="13">
        <f>SUBTOTAL(103,dTestIDdirectory[[#This Row],[Test Name]])</f>
        <v>0</v>
      </c>
    </row>
    <row r="37" spans="1:26" hidden="1" x14ac:dyDescent="0.25">
      <c r="A37" s="22" t="s">
        <v>165</v>
      </c>
      <c r="B37" s="5">
        <v>22</v>
      </c>
      <c r="C37" s="22" t="s">
        <v>18</v>
      </c>
      <c r="D37" s="22" t="s">
        <v>19</v>
      </c>
      <c r="E37" s="5" t="s">
        <v>132</v>
      </c>
      <c r="F37" s="5" t="s">
        <v>154</v>
      </c>
      <c r="G37" s="5" t="s">
        <v>141</v>
      </c>
      <c r="H37" s="5" t="s">
        <v>19</v>
      </c>
      <c r="I37" s="5">
        <v>4</v>
      </c>
      <c r="J37" s="5">
        <v>4</v>
      </c>
      <c r="K37" s="22" t="s">
        <v>166</v>
      </c>
      <c r="L37" s="5" t="s">
        <v>166</v>
      </c>
      <c r="M37" s="5" t="s">
        <v>78</v>
      </c>
      <c r="N37" s="22" t="s">
        <v>138</v>
      </c>
      <c r="O37"/>
      <c r="P37"/>
      <c r="Q37"/>
      <c r="R37"/>
      <c r="S37"/>
      <c r="T37"/>
      <c r="U37"/>
      <c r="V37"/>
      <c r="W37"/>
      <c r="X37"/>
      <c r="Y37"/>
      <c r="Z37">
        <f>SUBTOTAL(103,dTestIDdirectory[[#This Row],[Test Name]])</f>
        <v>0</v>
      </c>
    </row>
    <row r="38" spans="1:26" hidden="1" x14ac:dyDescent="0.25">
      <c r="A38" s="22" t="s">
        <v>167</v>
      </c>
      <c r="B38" s="5">
        <v>23</v>
      </c>
      <c r="C38" s="22" t="s">
        <v>18</v>
      </c>
      <c r="D38" s="22" t="s">
        <v>19</v>
      </c>
      <c r="E38" s="5" t="s">
        <v>132</v>
      </c>
      <c r="F38" s="5" t="s">
        <v>156</v>
      </c>
      <c r="G38" s="5" t="s">
        <v>141</v>
      </c>
      <c r="H38" s="5" t="s">
        <v>19</v>
      </c>
      <c r="I38" s="5">
        <v>4</v>
      </c>
      <c r="J38" s="5">
        <v>4</v>
      </c>
      <c r="K38" s="22" t="s">
        <v>168</v>
      </c>
      <c r="L38" s="5" t="s">
        <v>168</v>
      </c>
      <c r="M38" s="5" t="s">
        <v>78</v>
      </c>
      <c r="N38" s="22" t="s">
        <v>138</v>
      </c>
      <c r="O38"/>
      <c r="P38"/>
      <c r="Q38"/>
      <c r="R38"/>
      <c r="S38"/>
      <c r="T38"/>
      <c r="U38"/>
      <c r="V38"/>
      <c r="W38"/>
      <c r="X38"/>
      <c r="Y38"/>
      <c r="Z38">
        <f>SUBTOTAL(103,dTestIDdirectory[[#This Row],[Test Name]])</f>
        <v>0</v>
      </c>
    </row>
    <row r="39" spans="1:26" hidden="1" x14ac:dyDescent="0.25">
      <c r="A39" s="12" t="s">
        <v>86</v>
      </c>
      <c r="B39" s="12">
        <v>9</v>
      </c>
      <c r="C39" s="12" t="s">
        <v>18</v>
      </c>
      <c r="D39" s="12" t="s">
        <v>19</v>
      </c>
      <c r="E39" s="12" t="s">
        <v>135</v>
      </c>
      <c r="F39" s="12" t="s">
        <v>76</v>
      </c>
      <c r="G39" s="10" t="s">
        <v>76</v>
      </c>
      <c r="H39" s="10" t="s">
        <v>19</v>
      </c>
      <c r="I39" s="12">
        <v>2</v>
      </c>
      <c r="J39" s="12">
        <v>4</v>
      </c>
      <c r="K39" s="12" t="s">
        <v>143</v>
      </c>
      <c r="L39" s="12" t="s">
        <v>143</v>
      </c>
      <c r="M39" s="12" t="s">
        <v>78</v>
      </c>
      <c r="N39" s="12" t="s">
        <v>138</v>
      </c>
      <c r="O39" s="12"/>
      <c r="P39" s="12"/>
      <c r="Q39" s="12"/>
      <c r="R39" s="12"/>
      <c r="S39" s="12"/>
      <c r="T39" s="12"/>
      <c r="U39" s="12"/>
      <c r="V39" s="12"/>
      <c r="W39" s="12"/>
      <c r="X39" s="12"/>
      <c r="Y39" s="12"/>
      <c r="Z39" s="12">
        <f>SUBTOTAL(103,dTestIDdirectory[[#This Row],[Test Name]])</f>
        <v>0</v>
      </c>
    </row>
    <row r="40" spans="1:26" hidden="1" x14ac:dyDescent="0.25">
      <c r="A40" s="13" t="s">
        <v>151</v>
      </c>
      <c r="B40" s="13">
        <v>15</v>
      </c>
      <c r="C40" s="13" t="s">
        <v>18</v>
      </c>
      <c r="D40" s="13" t="s">
        <v>19</v>
      </c>
      <c r="E40" s="13" t="s">
        <v>135</v>
      </c>
      <c r="F40" s="13" t="s">
        <v>148</v>
      </c>
      <c r="G40" s="15" t="s">
        <v>76</v>
      </c>
      <c r="H40" s="15" t="s">
        <v>19</v>
      </c>
      <c r="I40" s="13">
        <v>3</v>
      </c>
      <c r="J40" s="13">
        <v>4</v>
      </c>
      <c r="K40" s="13" t="s">
        <v>152</v>
      </c>
      <c r="L40" s="13" t="s">
        <v>152</v>
      </c>
      <c r="M40" s="13" t="s">
        <v>78</v>
      </c>
      <c r="N40" s="13" t="s">
        <v>138</v>
      </c>
      <c r="O40" s="13"/>
      <c r="P40" s="13"/>
      <c r="Q40" s="13"/>
      <c r="R40" s="13"/>
      <c r="S40" s="13"/>
      <c r="T40" s="13"/>
      <c r="U40" s="13"/>
      <c r="V40" s="13"/>
      <c r="W40" s="13"/>
      <c r="X40" s="13"/>
      <c r="Y40" s="13"/>
      <c r="Z40" s="13">
        <f>SUBTOTAL(103,dTestIDdirectory[[#This Row],[Test Name]])</f>
        <v>0</v>
      </c>
    </row>
    <row r="41" spans="1:26" x14ac:dyDescent="0.25">
      <c r="A41" s="22" t="s">
        <v>153</v>
      </c>
      <c r="B41" s="5">
        <v>16</v>
      </c>
      <c r="C41" s="22" t="s">
        <v>18</v>
      </c>
      <c r="D41" s="22" t="s">
        <v>19</v>
      </c>
      <c r="E41" s="5" t="s">
        <v>132</v>
      </c>
      <c r="F41" s="5" t="s">
        <v>154</v>
      </c>
      <c r="G41" s="5" t="s">
        <v>76</v>
      </c>
      <c r="H41" s="5" t="s">
        <v>19</v>
      </c>
      <c r="I41" s="5">
        <v>4</v>
      </c>
      <c r="J41" s="5">
        <v>4</v>
      </c>
      <c r="K41" s="22" t="s">
        <v>77</v>
      </c>
      <c r="L41" s="5" t="s">
        <v>77</v>
      </c>
      <c r="M41" s="5" t="s">
        <v>78</v>
      </c>
      <c r="N41" s="22" t="s">
        <v>138</v>
      </c>
      <c r="O41"/>
      <c r="P41"/>
      <c r="Q41"/>
      <c r="R41"/>
      <c r="S41"/>
      <c r="T41"/>
      <c r="U41"/>
      <c r="V41"/>
      <c r="W41"/>
      <c r="X41"/>
      <c r="Y41"/>
      <c r="Z41">
        <f>SUBTOTAL(103,dTestIDdirectory[[#This Row],[Test Name]])</f>
        <v>1</v>
      </c>
    </row>
    <row r="42" spans="1:26" x14ac:dyDescent="0.25">
      <c r="A42" s="22" t="s">
        <v>155</v>
      </c>
      <c r="B42" s="5">
        <v>17</v>
      </c>
      <c r="C42" s="22" t="s">
        <v>18</v>
      </c>
      <c r="D42" s="22" t="s">
        <v>19</v>
      </c>
      <c r="E42" s="5" t="s">
        <v>132</v>
      </c>
      <c r="F42" s="5" t="s">
        <v>156</v>
      </c>
      <c r="G42" s="5" t="s">
        <v>76</v>
      </c>
      <c r="H42" s="5" t="s">
        <v>19</v>
      </c>
      <c r="I42" s="5">
        <v>4</v>
      </c>
      <c r="J42" s="5">
        <v>4</v>
      </c>
      <c r="K42" s="22" t="s">
        <v>79</v>
      </c>
      <c r="L42" s="5" t="s">
        <v>79</v>
      </c>
      <c r="M42" s="5" t="s">
        <v>78</v>
      </c>
      <c r="N42" s="22" t="s">
        <v>138</v>
      </c>
      <c r="O42"/>
      <c r="P42"/>
      <c r="Q42"/>
      <c r="R42"/>
      <c r="S42"/>
      <c r="T42"/>
      <c r="U42"/>
      <c r="V42"/>
      <c r="W42"/>
      <c r="X42"/>
      <c r="Y42"/>
      <c r="Z42">
        <f>SUBTOTAL(103,dTestIDdirectory[[#This Row],[Test Name]])</f>
        <v>1</v>
      </c>
    </row>
    <row r="43" spans="1:26" hidden="1" x14ac:dyDescent="0.25">
      <c r="A43" s="12" t="s">
        <v>88</v>
      </c>
      <c r="B43" s="12">
        <v>12</v>
      </c>
      <c r="C43" s="12" t="s">
        <v>18</v>
      </c>
      <c r="D43" s="12" t="s">
        <v>19</v>
      </c>
      <c r="E43" s="12" t="s">
        <v>135</v>
      </c>
      <c r="F43" s="12" t="s">
        <v>144</v>
      </c>
      <c r="G43" s="10" t="s">
        <v>76</v>
      </c>
      <c r="H43" s="10" t="s">
        <v>19</v>
      </c>
      <c r="I43" s="12">
        <v>3</v>
      </c>
      <c r="J43" s="12">
        <v>4</v>
      </c>
      <c r="K43" s="12" t="s">
        <v>147</v>
      </c>
      <c r="L43" s="12" t="s">
        <v>147</v>
      </c>
      <c r="M43" s="12" t="s">
        <v>78</v>
      </c>
      <c r="N43" s="12" t="s">
        <v>138</v>
      </c>
      <c r="O43" s="12"/>
      <c r="P43" s="12"/>
      <c r="Q43" s="12"/>
      <c r="R43" s="12"/>
      <c r="S43" s="12"/>
      <c r="T43" s="12"/>
      <c r="U43" s="12"/>
      <c r="V43" s="12"/>
      <c r="W43" s="12"/>
      <c r="X43" s="12"/>
      <c r="Y43" s="12"/>
      <c r="Z43" s="12">
        <f>SUBTOTAL(103,dTestIDdirectory[[#This Row],[Test Name]])</f>
        <v>0</v>
      </c>
    </row>
    <row r="44" spans="1:26" x14ac:dyDescent="0.25">
      <c r="A44" s="22" t="s">
        <v>157</v>
      </c>
      <c r="B44" s="5">
        <v>18</v>
      </c>
      <c r="C44" s="22" t="s">
        <v>18</v>
      </c>
      <c r="D44" s="22" t="s">
        <v>19</v>
      </c>
      <c r="E44" s="5" t="s">
        <v>132</v>
      </c>
      <c r="F44" s="5" t="s">
        <v>154</v>
      </c>
      <c r="G44" s="5" t="s">
        <v>76</v>
      </c>
      <c r="H44" s="5" t="s">
        <v>19</v>
      </c>
      <c r="I44" s="5">
        <v>4</v>
      </c>
      <c r="J44" s="5">
        <v>4</v>
      </c>
      <c r="K44" s="22" t="s">
        <v>158</v>
      </c>
      <c r="L44" s="5" t="s">
        <v>158</v>
      </c>
      <c r="M44" s="5" t="s">
        <v>78</v>
      </c>
      <c r="N44" s="22" t="s">
        <v>138</v>
      </c>
      <c r="O44"/>
      <c r="P44"/>
      <c r="Q44"/>
      <c r="R44"/>
      <c r="S44"/>
      <c r="T44"/>
      <c r="U44"/>
      <c r="V44"/>
      <c r="W44"/>
      <c r="X44"/>
      <c r="Y44"/>
      <c r="Z44">
        <f>SUBTOTAL(103,dTestIDdirectory[[#This Row],[Test Name]])</f>
        <v>1</v>
      </c>
    </row>
    <row r="45" spans="1:26" x14ac:dyDescent="0.25">
      <c r="A45" s="22" t="s">
        <v>159</v>
      </c>
      <c r="B45" s="5">
        <v>19</v>
      </c>
      <c r="C45" s="22" t="s">
        <v>18</v>
      </c>
      <c r="D45" s="22" t="s">
        <v>19</v>
      </c>
      <c r="E45" s="5" t="s">
        <v>132</v>
      </c>
      <c r="F45" s="5" t="s">
        <v>156</v>
      </c>
      <c r="G45" s="5" t="s">
        <v>76</v>
      </c>
      <c r="H45" s="5" t="s">
        <v>19</v>
      </c>
      <c r="I45" s="5">
        <v>4</v>
      </c>
      <c r="J45" s="5">
        <v>4</v>
      </c>
      <c r="K45" s="22" t="s">
        <v>160</v>
      </c>
      <c r="L45" s="5" t="s">
        <v>160</v>
      </c>
      <c r="M45" s="5" t="s">
        <v>78</v>
      </c>
      <c r="N45" s="22" t="s">
        <v>138</v>
      </c>
      <c r="O45"/>
      <c r="P45"/>
      <c r="Q45"/>
      <c r="R45"/>
      <c r="S45"/>
      <c r="T45"/>
      <c r="U45"/>
      <c r="V45"/>
      <c r="W45"/>
      <c r="X45"/>
      <c r="Y45"/>
      <c r="Z45">
        <f>SUBTOTAL(103,dTestIDdirectory[[#This Row],[Test Name]])</f>
        <v>1</v>
      </c>
    </row>
    <row r="46" spans="1:26" hidden="1" x14ac:dyDescent="0.25">
      <c r="A46" s="22" t="s">
        <v>180</v>
      </c>
      <c r="B46" s="5">
        <v>29</v>
      </c>
      <c r="C46" s="22" t="s">
        <v>18</v>
      </c>
      <c r="D46" s="22" t="s">
        <v>181</v>
      </c>
      <c r="E46" s="5" t="s">
        <v>132</v>
      </c>
      <c r="F46" s="5" t="s">
        <v>181</v>
      </c>
      <c r="G46" s="5" t="s">
        <v>181</v>
      </c>
      <c r="H46" s="5" t="s">
        <v>181</v>
      </c>
      <c r="I46" s="5">
        <v>1</v>
      </c>
      <c r="J46" s="5">
        <v>1</v>
      </c>
      <c r="K46" s="22" t="s">
        <v>181</v>
      </c>
      <c r="L46" s="5" t="s">
        <v>181</v>
      </c>
      <c r="M46" s="5" t="s">
        <v>75</v>
      </c>
      <c r="N46" s="22" t="s">
        <v>182</v>
      </c>
      <c r="O46"/>
      <c r="P46"/>
      <c r="Q46"/>
      <c r="R46"/>
      <c r="S46"/>
      <c r="T46"/>
      <c r="U46"/>
      <c r="V46"/>
      <c r="W46"/>
      <c r="X46"/>
      <c r="Y46"/>
      <c r="Z46">
        <f>SUBTOTAL(103,dTestIDdirectory[[#This Row],[Test Name]])</f>
        <v>0</v>
      </c>
    </row>
    <row r="47" spans="1:26" x14ac:dyDescent="0.25">
      <c r="A47" s="22" t="s">
        <v>183</v>
      </c>
      <c r="B47" s="5">
        <v>30</v>
      </c>
      <c r="C47" s="22" t="s">
        <v>21</v>
      </c>
      <c r="D47" s="22" t="s">
        <v>85</v>
      </c>
      <c r="E47" s="5" t="s">
        <v>132</v>
      </c>
      <c r="F47" s="5" t="s">
        <v>184</v>
      </c>
      <c r="G47" s="5" t="s">
        <v>256</v>
      </c>
      <c r="H47" s="5" t="s">
        <v>85</v>
      </c>
      <c r="I47" s="5">
        <v>1</v>
      </c>
      <c r="J47" s="5">
        <v>3</v>
      </c>
      <c r="K47" s="22" t="s">
        <v>185</v>
      </c>
      <c r="L47" s="5" t="s">
        <v>85</v>
      </c>
      <c r="M47" s="5" t="s">
        <v>75</v>
      </c>
      <c r="N47" s="22" t="s">
        <v>186</v>
      </c>
      <c r="O47"/>
      <c r="P47"/>
      <c r="Q47"/>
      <c r="R47"/>
      <c r="S47"/>
      <c r="T47"/>
      <c r="U47"/>
      <c r="V47"/>
      <c r="W47"/>
      <c r="X47"/>
      <c r="Y47"/>
      <c r="Z47">
        <f>SUBTOTAL(103,dTestIDdirectory[[#This Row],[Test Name]])</f>
        <v>1</v>
      </c>
    </row>
    <row r="48" spans="1:26" x14ac:dyDescent="0.25">
      <c r="A48" s="22" t="s">
        <v>187</v>
      </c>
      <c r="B48" s="5">
        <v>31</v>
      </c>
      <c r="C48" s="22" t="s">
        <v>21</v>
      </c>
      <c r="D48" s="22" t="s">
        <v>85</v>
      </c>
      <c r="E48" s="5" t="s">
        <v>132</v>
      </c>
      <c r="F48" s="5" t="s">
        <v>188</v>
      </c>
      <c r="G48" s="5" t="s">
        <v>257</v>
      </c>
      <c r="H48" s="5" t="s">
        <v>85</v>
      </c>
      <c r="I48" s="5">
        <v>1</v>
      </c>
      <c r="J48" s="5">
        <v>3</v>
      </c>
      <c r="K48" s="22" t="s">
        <v>189</v>
      </c>
      <c r="L48" s="5" t="s">
        <v>85</v>
      </c>
      <c r="M48" s="5" t="s">
        <v>75</v>
      </c>
      <c r="N48" s="22" t="s">
        <v>186</v>
      </c>
      <c r="O48"/>
      <c r="P48"/>
      <c r="Q48"/>
      <c r="R48"/>
      <c r="S48"/>
      <c r="T48"/>
      <c r="U48"/>
      <c r="V48"/>
      <c r="W48"/>
      <c r="X48"/>
      <c r="Y48"/>
      <c r="Z48">
        <f>SUBTOTAL(103,dTestIDdirectory[[#This Row],[Test Name]])</f>
        <v>1</v>
      </c>
    </row>
    <row r="49" spans="1:26" x14ac:dyDescent="0.25">
      <c r="A49" s="22" t="s">
        <v>190</v>
      </c>
      <c r="B49" s="5">
        <v>32</v>
      </c>
      <c r="C49" s="22" t="s">
        <v>21</v>
      </c>
      <c r="D49" s="22" t="s">
        <v>85</v>
      </c>
      <c r="E49" s="5" t="s">
        <v>132</v>
      </c>
      <c r="F49" s="5" t="s">
        <v>191</v>
      </c>
      <c r="G49" s="5" t="s">
        <v>258</v>
      </c>
      <c r="H49" s="5" t="s">
        <v>85</v>
      </c>
      <c r="I49" s="5">
        <v>1</v>
      </c>
      <c r="J49" s="5">
        <v>3</v>
      </c>
      <c r="K49" s="22" t="s">
        <v>192</v>
      </c>
      <c r="L49" s="5" t="s">
        <v>85</v>
      </c>
      <c r="M49" s="5" t="s">
        <v>75</v>
      </c>
      <c r="N49" s="22" t="s">
        <v>186</v>
      </c>
      <c r="O49"/>
      <c r="P49"/>
      <c r="Q49"/>
      <c r="R49"/>
      <c r="S49"/>
      <c r="T49"/>
      <c r="U49"/>
      <c r="V49"/>
      <c r="W49"/>
      <c r="X49"/>
      <c r="Y49"/>
      <c r="Z49">
        <f>SUBTOTAL(103,dTestIDdirectory[[#This Row],[Test Name]])</f>
        <v>1</v>
      </c>
    </row>
    <row r="50" spans="1:26" x14ac:dyDescent="0.25">
      <c r="A50" s="22" t="s">
        <v>193</v>
      </c>
      <c r="B50" s="5">
        <v>33</v>
      </c>
      <c r="C50" s="22" t="s">
        <v>21</v>
      </c>
      <c r="D50" s="22" t="s">
        <v>85</v>
      </c>
      <c r="E50" s="5" t="s">
        <v>132</v>
      </c>
      <c r="F50" s="5" t="s">
        <v>194</v>
      </c>
      <c r="G50" s="5" t="s">
        <v>259</v>
      </c>
      <c r="H50" s="5" t="s">
        <v>85</v>
      </c>
      <c r="I50" s="5">
        <v>1</v>
      </c>
      <c r="J50" s="5">
        <v>3</v>
      </c>
      <c r="K50" s="22" t="s">
        <v>195</v>
      </c>
      <c r="L50" s="5" t="s">
        <v>85</v>
      </c>
      <c r="M50" s="5" t="s">
        <v>75</v>
      </c>
      <c r="N50" s="22" t="s">
        <v>186</v>
      </c>
      <c r="O50"/>
      <c r="P50"/>
      <c r="Q50"/>
      <c r="R50"/>
      <c r="S50"/>
      <c r="T50"/>
      <c r="U50"/>
      <c r="V50"/>
      <c r="W50"/>
      <c r="X50"/>
      <c r="Y50"/>
      <c r="Z50">
        <f>SUBTOTAL(103,dTestIDdirectory[[#This Row],[Test Name]])</f>
        <v>1</v>
      </c>
    </row>
    <row r="51" spans="1:26" hidden="1" x14ac:dyDescent="0.25">
      <c r="A51" s="22" t="s">
        <v>196</v>
      </c>
      <c r="B51" s="5">
        <v>34</v>
      </c>
      <c r="C51" s="22" t="s">
        <v>21</v>
      </c>
      <c r="D51" s="22" t="s">
        <v>85</v>
      </c>
      <c r="E51" s="5" t="s">
        <v>132</v>
      </c>
      <c r="F51" s="5" t="s">
        <v>197</v>
      </c>
      <c r="G51" s="5" t="s">
        <v>260</v>
      </c>
      <c r="H51" s="5" t="s">
        <v>85</v>
      </c>
      <c r="I51" s="5">
        <v>1</v>
      </c>
      <c r="J51" s="5">
        <v>3</v>
      </c>
      <c r="K51" s="22" t="s">
        <v>198</v>
      </c>
      <c r="L51" s="5" t="s">
        <v>85</v>
      </c>
      <c r="M51" s="5" t="s">
        <v>75</v>
      </c>
      <c r="N51" s="22" t="s">
        <v>186</v>
      </c>
      <c r="O51"/>
      <c r="P51"/>
      <c r="Q51"/>
      <c r="R51"/>
      <c r="S51"/>
      <c r="T51"/>
      <c r="U51"/>
      <c r="V51"/>
      <c r="W51"/>
      <c r="X51"/>
      <c r="Y51"/>
      <c r="Z51">
        <f>SUBTOTAL(103,dTestIDdirectory[[#This Row],[Test Name]])</f>
        <v>0</v>
      </c>
    </row>
    <row r="52" spans="1:26" hidden="1" x14ac:dyDescent="0.25">
      <c r="A52" s="19" t="s">
        <v>199</v>
      </c>
      <c r="B52" s="5">
        <v>35</v>
      </c>
      <c r="C52" s="19" t="s">
        <v>21</v>
      </c>
      <c r="D52" s="19" t="s">
        <v>85</v>
      </c>
      <c r="E52" s="5" t="s">
        <v>132</v>
      </c>
      <c r="F52" s="5" t="s">
        <v>200</v>
      </c>
      <c r="G52" s="5" t="s">
        <v>261</v>
      </c>
      <c r="H52" s="5" t="s">
        <v>85</v>
      </c>
      <c r="I52" s="5">
        <v>1</v>
      </c>
      <c r="J52" s="5">
        <v>3</v>
      </c>
      <c r="K52" s="19" t="s">
        <v>201</v>
      </c>
      <c r="L52" s="5" t="s">
        <v>85</v>
      </c>
      <c r="M52" s="5" t="s">
        <v>75</v>
      </c>
      <c r="N52" s="19" t="s">
        <v>186</v>
      </c>
      <c r="O52" s="8"/>
      <c r="P52" s="8"/>
      <c r="Q52" s="8"/>
      <c r="R52" s="8"/>
      <c r="S52" s="8"/>
      <c r="T52" s="8"/>
      <c r="U52" s="8"/>
      <c r="V52" s="8"/>
      <c r="W52" s="8"/>
      <c r="X52" s="8"/>
      <c r="Y52" s="8"/>
      <c r="Z52" s="8">
        <f>SUBTOTAL(103,dTestIDdirectory[[#This Row],[Test Name]])</f>
        <v>0</v>
      </c>
    </row>
    <row r="53" spans="1:26" hidden="1" x14ac:dyDescent="0.25">
      <c r="A53" s="22" t="s">
        <v>202</v>
      </c>
      <c r="B53" s="5">
        <v>36</v>
      </c>
      <c r="C53" s="22" t="s">
        <v>21</v>
      </c>
      <c r="D53" s="22" t="s">
        <v>85</v>
      </c>
      <c r="E53" s="5" t="s">
        <v>132</v>
      </c>
      <c r="F53" s="5" t="s">
        <v>203</v>
      </c>
      <c r="G53" s="5" t="s">
        <v>262</v>
      </c>
      <c r="H53" s="5" t="s">
        <v>85</v>
      </c>
      <c r="I53" s="5">
        <v>1</v>
      </c>
      <c r="J53" s="5">
        <v>3</v>
      </c>
      <c r="K53" s="22" t="s">
        <v>204</v>
      </c>
      <c r="L53" s="5" t="s">
        <v>85</v>
      </c>
      <c r="M53" s="5" t="s">
        <v>75</v>
      </c>
      <c r="N53" s="22" t="s">
        <v>186</v>
      </c>
      <c r="O53"/>
      <c r="P53"/>
      <c r="Q53"/>
      <c r="R53"/>
      <c r="S53"/>
      <c r="T53"/>
      <c r="U53"/>
      <c r="V53"/>
      <c r="W53"/>
      <c r="X53"/>
      <c r="Y53"/>
      <c r="Z53">
        <f>SUBTOTAL(103,dTestIDdirectory[[#This Row],[Test Name]])</f>
        <v>0</v>
      </c>
    </row>
    <row r="54" spans="1:26" hidden="1" x14ac:dyDescent="0.25">
      <c r="A54" s="22" t="s">
        <v>205</v>
      </c>
      <c r="B54" s="5">
        <v>37</v>
      </c>
      <c r="C54" s="22" t="s">
        <v>21</v>
      </c>
      <c r="D54" s="22" t="s">
        <v>85</v>
      </c>
      <c r="E54" s="5" t="s">
        <v>132</v>
      </c>
      <c r="F54" s="5" t="s">
        <v>206</v>
      </c>
      <c r="G54" s="5" t="s">
        <v>263</v>
      </c>
      <c r="H54" s="5" t="s">
        <v>85</v>
      </c>
      <c r="I54" s="5">
        <v>1</v>
      </c>
      <c r="J54" s="5">
        <v>3</v>
      </c>
      <c r="K54" s="22" t="s">
        <v>207</v>
      </c>
      <c r="L54" s="5" t="s">
        <v>85</v>
      </c>
      <c r="M54" s="5" t="s">
        <v>75</v>
      </c>
      <c r="N54" s="22" t="s">
        <v>186</v>
      </c>
      <c r="O54"/>
      <c r="P54"/>
      <c r="Q54"/>
      <c r="R54"/>
      <c r="S54"/>
      <c r="T54"/>
      <c r="U54"/>
      <c r="V54"/>
      <c r="W54"/>
      <c r="X54"/>
      <c r="Y54"/>
      <c r="Z54">
        <f>SUBTOTAL(103,dTestIDdirectory[[#This Row],[Test Name]])</f>
        <v>0</v>
      </c>
    </row>
    <row r="55" spans="1:26" hidden="1" x14ac:dyDescent="0.25">
      <c r="A55" s="22" t="s">
        <v>208</v>
      </c>
      <c r="B55" s="5">
        <v>38</v>
      </c>
      <c r="C55" s="22" t="s">
        <v>21</v>
      </c>
      <c r="D55" s="22" t="s">
        <v>85</v>
      </c>
      <c r="E55" s="5" t="s">
        <v>132</v>
      </c>
      <c r="F55" s="5" t="s">
        <v>209</v>
      </c>
      <c r="G55" s="5" t="s">
        <v>264</v>
      </c>
      <c r="H55" s="5" t="s">
        <v>85</v>
      </c>
      <c r="I55" s="5">
        <v>1</v>
      </c>
      <c r="J55" s="5">
        <v>3</v>
      </c>
      <c r="K55" s="22" t="s">
        <v>210</v>
      </c>
      <c r="L55" s="5" t="s">
        <v>85</v>
      </c>
      <c r="M55" s="5" t="s">
        <v>75</v>
      </c>
      <c r="N55" s="22" t="s">
        <v>186</v>
      </c>
      <c r="O55"/>
      <c r="P55"/>
      <c r="Q55"/>
      <c r="R55"/>
      <c r="S55"/>
      <c r="T55"/>
      <c r="U55"/>
      <c r="V55"/>
      <c r="W55"/>
      <c r="X55"/>
      <c r="Y55"/>
      <c r="Z55">
        <f>SUBTOTAL(103,dTestIDdirectory[[#This Row],[Test Name]])</f>
        <v>0</v>
      </c>
    </row>
    <row r="56" spans="1:26" hidden="1" x14ac:dyDescent="0.25">
      <c r="A56" s="13" t="s">
        <v>219</v>
      </c>
      <c r="B56" s="13">
        <v>41</v>
      </c>
      <c r="C56" s="13" t="s">
        <v>21</v>
      </c>
      <c r="D56" s="13" t="s">
        <v>85</v>
      </c>
      <c r="E56" s="13" t="s">
        <v>135</v>
      </c>
      <c r="F56" s="13" t="s">
        <v>220</v>
      </c>
      <c r="G56" s="15" t="s">
        <v>265</v>
      </c>
      <c r="H56" s="15" t="s">
        <v>85</v>
      </c>
      <c r="I56" s="13">
        <v>3</v>
      </c>
      <c r="J56" s="13">
        <v>3</v>
      </c>
      <c r="K56" s="13" t="s">
        <v>221</v>
      </c>
      <c r="L56" s="13" t="s">
        <v>221</v>
      </c>
      <c r="M56" s="13" t="s">
        <v>75</v>
      </c>
      <c r="N56" s="13" t="s">
        <v>186</v>
      </c>
      <c r="O56" s="13"/>
      <c r="P56" s="13"/>
      <c r="Q56" s="13"/>
      <c r="R56" s="13"/>
      <c r="S56" s="13"/>
      <c r="T56" s="13"/>
      <c r="U56" s="13"/>
      <c r="V56" s="13"/>
      <c r="W56" s="13"/>
      <c r="X56" s="13"/>
      <c r="Y56" s="13"/>
      <c r="Z56" s="13">
        <f>SUBTOTAL(103,dTestIDdirectory[[#This Row],[Test Name]])</f>
        <v>0</v>
      </c>
    </row>
    <row r="57" spans="1:26" hidden="1" x14ac:dyDescent="0.25">
      <c r="A57" s="12" t="s">
        <v>215</v>
      </c>
      <c r="B57" s="12">
        <v>40</v>
      </c>
      <c r="C57" s="12" t="s">
        <v>21</v>
      </c>
      <c r="D57" s="12" t="s">
        <v>85</v>
      </c>
      <c r="E57" s="12" t="s">
        <v>135</v>
      </c>
      <c r="F57" s="12" t="s">
        <v>216</v>
      </c>
      <c r="G57" s="10" t="s">
        <v>216</v>
      </c>
      <c r="H57" s="10" t="s">
        <v>85</v>
      </c>
      <c r="I57" s="12">
        <v>2</v>
      </c>
      <c r="J57" s="12">
        <v>3</v>
      </c>
      <c r="K57" s="12" t="s">
        <v>217</v>
      </c>
      <c r="L57" s="12" t="s">
        <v>218</v>
      </c>
      <c r="M57" s="12" t="s">
        <v>75</v>
      </c>
      <c r="N57" s="12" t="s">
        <v>186</v>
      </c>
      <c r="O57" s="12"/>
      <c r="P57" s="12"/>
      <c r="Q57" s="12"/>
      <c r="R57" s="12"/>
      <c r="S57" s="12"/>
      <c r="T57" s="12"/>
      <c r="U57" s="12"/>
      <c r="V57" s="12"/>
      <c r="W57" s="12"/>
      <c r="X57" s="12"/>
      <c r="Y57" s="12"/>
      <c r="Z57" s="12">
        <f>SUBTOTAL(103,dTestIDdirectory[[#This Row],[Test Name]])</f>
        <v>0</v>
      </c>
    </row>
    <row r="58" spans="1:26" hidden="1" x14ac:dyDescent="0.25">
      <c r="A58" s="13" t="s">
        <v>211</v>
      </c>
      <c r="B58" s="13">
        <v>39</v>
      </c>
      <c r="C58" s="13" t="s">
        <v>21</v>
      </c>
      <c r="D58" s="13" t="s">
        <v>85</v>
      </c>
      <c r="E58" s="13" t="s">
        <v>135</v>
      </c>
      <c r="F58" s="13" t="s">
        <v>212</v>
      </c>
      <c r="G58" s="15" t="s">
        <v>212</v>
      </c>
      <c r="H58" s="15" t="s">
        <v>85</v>
      </c>
      <c r="I58" s="13">
        <v>2</v>
      </c>
      <c r="J58" s="13">
        <v>3</v>
      </c>
      <c r="K58" s="13" t="s">
        <v>213</v>
      </c>
      <c r="L58" s="13" t="s">
        <v>214</v>
      </c>
      <c r="M58" s="13" t="s">
        <v>75</v>
      </c>
      <c r="N58" s="13" t="s">
        <v>186</v>
      </c>
      <c r="O58" s="13"/>
      <c r="P58" s="13"/>
      <c r="Q58" s="13"/>
      <c r="R58" s="13"/>
      <c r="S58" s="13"/>
      <c r="T58" s="13"/>
      <c r="U58" s="13"/>
      <c r="V58" s="13"/>
      <c r="W58" s="13"/>
      <c r="X58" s="13"/>
      <c r="Y58" s="13"/>
      <c r="Z58" s="13">
        <f>SUBTOTAL(103,dTestIDdirectory[[#This Row],[Test Name]])</f>
        <v>0</v>
      </c>
    </row>
    <row r="59" spans="1:26" hidden="1" x14ac:dyDescent="0.25">
      <c r="A59" s="22" t="s">
        <v>15</v>
      </c>
      <c r="B59" s="5">
        <v>1</v>
      </c>
      <c r="C59" s="22" t="s">
        <v>11</v>
      </c>
      <c r="D59" s="22" t="s">
        <v>16</v>
      </c>
      <c r="E59" s="5" t="s">
        <v>132</v>
      </c>
      <c r="F59" s="5" t="s">
        <v>16</v>
      </c>
      <c r="G59" s="5" t="s">
        <v>16</v>
      </c>
      <c r="H59" s="5" t="s">
        <v>16</v>
      </c>
      <c r="I59" s="5">
        <v>1</v>
      </c>
      <c r="J59" s="5">
        <v>1</v>
      </c>
      <c r="K59" s="22" t="s">
        <v>16</v>
      </c>
      <c r="L59" s="5" t="s">
        <v>16</v>
      </c>
      <c r="M59" s="5" t="s">
        <v>75</v>
      </c>
      <c r="N59" s="22" t="s">
        <v>133</v>
      </c>
      <c r="O59"/>
      <c r="P59"/>
      <c r="Q59"/>
      <c r="R59"/>
      <c r="S59"/>
      <c r="T59"/>
      <c r="U59"/>
      <c r="V59"/>
      <c r="W59"/>
      <c r="X59"/>
      <c r="Y59"/>
      <c r="Z59">
        <f>SUBTOTAL(103,dTestIDdirectory[[#This Row],[Test Name]])</f>
        <v>0</v>
      </c>
    </row>
    <row r="60" spans="1:26" hidden="1" x14ac:dyDescent="0.25">
      <c r="A60" s="22" t="s">
        <v>62</v>
      </c>
      <c r="B60" s="5">
        <v>4</v>
      </c>
      <c r="C60" s="22" t="s">
        <v>11</v>
      </c>
      <c r="D60" s="22" t="s">
        <v>60</v>
      </c>
      <c r="E60" s="5" t="s">
        <v>132</v>
      </c>
      <c r="F60" s="5" t="s">
        <v>61</v>
      </c>
      <c r="G60" s="5" t="s">
        <v>254</v>
      </c>
      <c r="H60" s="5" t="s">
        <v>60</v>
      </c>
      <c r="I60" s="5">
        <v>2</v>
      </c>
      <c r="J60" s="5">
        <v>2</v>
      </c>
      <c r="K60" s="22" t="s">
        <v>231</v>
      </c>
      <c r="L60" s="5" t="s">
        <v>231</v>
      </c>
      <c r="M60" s="5" t="s">
        <v>75</v>
      </c>
      <c r="N60" s="22" t="s">
        <v>137</v>
      </c>
      <c r="O60"/>
      <c r="P60"/>
      <c r="Q60"/>
      <c r="R60"/>
      <c r="S60"/>
      <c r="T60"/>
      <c r="U60"/>
      <c r="V60"/>
      <c r="W60"/>
      <c r="X60"/>
      <c r="Y60"/>
      <c r="Z60">
        <f>SUBTOTAL(103,dTestIDdirectory[[#This Row],[Test Name]])</f>
        <v>0</v>
      </c>
    </row>
    <row r="61" spans="1:26" hidden="1" x14ac:dyDescent="0.25">
      <c r="A61" s="22" t="s">
        <v>65</v>
      </c>
      <c r="B61" s="5">
        <v>5</v>
      </c>
      <c r="C61" s="22" t="s">
        <v>11</v>
      </c>
      <c r="D61" s="22" t="s">
        <v>60</v>
      </c>
      <c r="E61" s="5" t="s">
        <v>132</v>
      </c>
      <c r="F61" s="5" t="s">
        <v>63</v>
      </c>
      <c r="G61" s="5" t="s">
        <v>254</v>
      </c>
      <c r="H61" s="5" t="s">
        <v>60</v>
      </c>
      <c r="I61" s="5">
        <v>2</v>
      </c>
      <c r="J61" s="5">
        <v>2</v>
      </c>
      <c r="K61" s="22" t="s">
        <v>64</v>
      </c>
      <c r="L61" s="5" t="s">
        <v>64</v>
      </c>
      <c r="M61" s="5" t="s">
        <v>75</v>
      </c>
      <c r="N61" s="22" t="s">
        <v>137</v>
      </c>
      <c r="O61"/>
      <c r="P61"/>
      <c r="Q61"/>
      <c r="R61"/>
      <c r="S61"/>
      <c r="T61"/>
      <c r="U61"/>
      <c r="V61"/>
      <c r="W61"/>
      <c r="X61"/>
      <c r="Y61"/>
      <c r="Z61">
        <f>SUBTOTAL(103,dTestIDdirectory[[#This Row],[Test Name]])</f>
        <v>0</v>
      </c>
    </row>
    <row r="62" spans="1:26" hidden="1" x14ac:dyDescent="0.25">
      <c r="A62" s="13" t="s">
        <v>20</v>
      </c>
      <c r="B62" s="13">
        <v>3</v>
      </c>
      <c r="C62" s="13" t="s">
        <v>11</v>
      </c>
      <c r="D62" s="13" t="s">
        <v>60</v>
      </c>
      <c r="E62" s="13" t="s">
        <v>135</v>
      </c>
      <c r="F62" s="13" t="s">
        <v>135</v>
      </c>
      <c r="G62" s="15" t="s">
        <v>135</v>
      </c>
      <c r="H62" s="15" t="s">
        <v>60</v>
      </c>
      <c r="I62" s="13">
        <v>2</v>
      </c>
      <c r="J62" s="13">
        <v>2</v>
      </c>
      <c r="K62" s="13" t="s">
        <v>136</v>
      </c>
      <c r="L62" s="13" t="s">
        <v>136</v>
      </c>
      <c r="M62" s="13" t="s">
        <v>75</v>
      </c>
      <c r="N62" s="13" t="s">
        <v>137</v>
      </c>
      <c r="O62" s="13"/>
      <c r="P62" s="13"/>
      <c r="Q62" s="13"/>
      <c r="R62" s="13"/>
      <c r="S62" s="13"/>
      <c r="T62" s="13"/>
      <c r="U62" s="13"/>
      <c r="V62" s="13"/>
      <c r="W62" s="13"/>
      <c r="X62" s="13"/>
      <c r="Y62" s="13"/>
      <c r="Z62" s="13">
        <f>SUBTOTAL(103,dTestIDdirectory[[#This Row],[Test Name]])</f>
        <v>0</v>
      </c>
    </row>
    <row r="63" spans="1:26" hidden="1" x14ac:dyDescent="0.25">
      <c r="A63" s="12" t="s">
        <v>66</v>
      </c>
      <c r="B63" s="12">
        <v>6</v>
      </c>
      <c r="C63" s="12" t="s">
        <v>18</v>
      </c>
      <c r="D63" s="12" t="s">
        <v>19</v>
      </c>
      <c r="E63" s="12" t="s">
        <v>135</v>
      </c>
      <c r="F63" s="12" t="s">
        <v>135</v>
      </c>
      <c r="G63" s="10" t="s">
        <v>135</v>
      </c>
      <c r="H63" s="10" t="s">
        <v>19</v>
      </c>
      <c r="I63" s="12">
        <v>4</v>
      </c>
      <c r="J63" s="12">
        <v>4</v>
      </c>
      <c r="K63" s="12" t="s">
        <v>255</v>
      </c>
      <c r="L63" s="12" t="s">
        <v>255</v>
      </c>
      <c r="M63" s="12" t="s">
        <v>78</v>
      </c>
      <c r="N63" s="12" t="s">
        <v>138</v>
      </c>
      <c r="O63" s="12"/>
      <c r="P63" s="12"/>
      <c r="Q63" s="12"/>
      <c r="R63" s="12"/>
      <c r="S63" s="12"/>
      <c r="T63" s="12"/>
      <c r="U63" s="12"/>
      <c r="V63" s="12"/>
      <c r="W63" s="12"/>
      <c r="X63" s="12"/>
      <c r="Y63" s="12"/>
      <c r="Z63" s="12">
        <f>SUBTOTAL(103,dTestIDdirectory[[#This Row],[Test Name]])</f>
        <v>0</v>
      </c>
    </row>
    <row r="64" spans="1:26" x14ac:dyDescent="0.25">
      <c r="A64" s="22" t="s">
        <v>177</v>
      </c>
      <c r="B64" s="5">
        <v>28</v>
      </c>
      <c r="C64" s="22" t="s">
        <v>18</v>
      </c>
      <c r="D64" s="22" t="s">
        <v>178</v>
      </c>
      <c r="E64" s="5" t="s">
        <v>132</v>
      </c>
      <c r="F64" s="5" t="s">
        <v>178</v>
      </c>
      <c r="G64" s="5" t="s">
        <v>178</v>
      </c>
      <c r="H64" s="5" t="s">
        <v>178</v>
      </c>
      <c r="I64" s="5">
        <v>1</v>
      </c>
      <c r="J64" s="5">
        <v>1</v>
      </c>
      <c r="K64" s="22" t="s">
        <v>178</v>
      </c>
      <c r="L64" s="5" t="s">
        <v>178</v>
      </c>
      <c r="M64" s="5" t="s">
        <v>75</v>
      </c>
      <c r="N64" s="22" t="s">
        <v>179</v>
      </c>
      <c r="O64"/>
      <c r="P64"/>
      <c r="Q64"/>
      <c r="R64"/>
      <c r="S64"/>
      <c r="T64"/>
      <c r="U64"/>
      <c r="V64"/>
      <c r="W64"/>
      <c r="X64"/>
      <c r="Y64"/>
      <c r="Z64">
        <f>SUBTOTAL(103,dTestIDdirectory[[#This Row],[Test Name]])</f>
        <v>1</v>
      </c>
    </row>
    <row r="65" spans="1:26" hidden="1" x14ac:dyDescent="0.25">
      <c r="A65" s="22" t="s">
        <v>17</v>
      </c>
      <c r="B65" s="5">
        <v>2</v>
      </c>
      <c r="C65" s="22" t="s">
        <v>11</v>
      </c>
      <c r="D65" s="22" t="s">
        <v>59</v>
      </c>
      <c r="E65" s="5" t="s">
        <v>132</v>
      </c>
      <c r="F65" s="5" t="s">
        <v>59</v>
      </c>
      <c r="G65" s="5" t="s">
        <v>59</v>
      </c>
      <c r="H65" s="5" t="s">
        <v>59</v>
      </c>
      <c r="I65" s="5">
        <v>1</v>
      </c>
      <c r="J65" s="5">
        <v>1</v>
      </c>
      <c r="K65" s="22" t="s">
        <v>59</v>
      </c>
      <c r="L65" s="5" t="s">
        <v>59</v>
      </c>
      <c r="M65" s="5" t="s">
        <v>75</v>
      </c>
      <c r="N65" s="22" t="s">
        <v>134</v>
      </c>
      <c r="O65"/>
      <c r="P65"/>
      <c r="Q65"/>
      <c r="R65"/>
      <c r="S65"/>
      <c r="T65"/>
      <c r="U65"/>
      <c r="V65"/>
      <c r="W65"/>
      <c r="X65"/>
      <c r="Y65"/>
      <c r="Z65">
        <f>SUBTOTAL(103,dTestIDdirectory[[#This Row],[Test Name]])</f>
        <v>0</v>
      </c>
    </row>
    <row r="66" spans="1:26" x14ac:dyDescent="0.25">
      <c r="G66" s="5"/>
      <c r="H66" s="5"/>
    </row>
    <row r="67" spans="1:26" x14ac:dyDescent="0.25">
      <c r="G67" s="5"/>
      <c r="H67" s="5"/>
    </row>
    <row r="68" spans="1:26" x14ac:dyDescent="0.25">
      <c r="G68" s="5"/>
      <c r="H68" s="5"/>
    </row>
    <row r="69" spans="1:26" x14ac:dyDescent="0.25">
      <c r="G69" s="5"/>
      <c r="H69" s="5"/>
    </row>
    <row r="70" spans="1:26" x14ac:dyDescent="0.25">
      <c r="G70" s="5"/>
      <c r="H70" s="5"/>
    </row>
    <row r="71" spans="1:26" x14ac:dyDescent="0.25">
      <c r="G71" s="5"/>
      <c r="H71" s="5"/>
    </row>
    <row r="72" spans="1:26" x14ac:dyDescent="0.25">
      <c r="G72" s="5"/>
      <c r="H72" s="5"/>
    </row>
    <row r="73" spans="1:26" x14ac:dyDescent="0.25">
      <c r="G73" s="5"/>
      <c r="H73" s="5"/>
    </row>
    <row r="74" spans="1:26" x14ac:dyDescent="0.25">
      <c r="G74" s="5"/>
      <c r="H74" s="5"/>
    </row>
    <row r="75" spans="1:26" x14ac:dyDescent="0.25">
      <c r="G75" s="5"/>
      <c r="H75" s="5"/>
    </row>
    <row r="76" spans="1:26" x14ac:dyDescent="0.25">
      <c r="G76" s="5"/>
      <c r="H76" s="5"/>
    </row>
    <row r="77" spans="1:26" x14ac:dyDescent="0.25">
      <c r="G77" s="5"/>
      <c r="H77" s="5"/>
    </row>
    <row r="78" spans="1:26" x14ac:dyDescent="0.25">
      <c r="G78" s="5"/>
      <c r="H78" s="5"/>
    </row>
    <row r="79" spans="1:26" x14ac:dyDescent="0.25">
      <c r="G79" s="5"/>
      <c r="H79" s="5"/>
    </row>
  </sheetData>
  <phoneticPr fontId="2" type="noConversion"/>
  <pageMargins left="0.7" right="0.7" top="0.75" bottom="0.75" header="0.3" footer="0.3"/>
  <pageSetup orientation="portrait" r:id="rId1"/>
  <drawing r:id="rId2"/>
  <tableParts count="1">
    <tablePart r:id="rId3"/>
  </tableParts>
  <extLst>
    <ext xmlns:x15="http://schemas.microsoft.com/office/spreadsheetml/2010/11/main" uri="{3A4CF648-6AED-40f4-86FF-DC5316D8AED3}">
      <x14:slicerList xmlns:x14="http://schemas.microsoft.com/office/spreadsheetml/2009/9/main">
        <x14:slicer r:id="rId4"/>
      </x14:slicerList>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AF2F72-468E-4B2E-89E4-BDE172DA0F00}">
  <sheetPr codeName="Sheet1"/>
  <dimension ref="A2:Y43"/>
  <sheetViews>
    <sheetView showGridLines="0" zoomScaleNormal="100" workbookViewId="0">
      <selection activeCell="V30" sqref="V30"/>
    </sheetView>
  </sheetViews>
  <sheetFormatPr defaultRowHeight="15" x14ac:dyDescent="0.25"/>
  <cols>
    <col min="1" max="1" width="12.7109375" bestFit="1" customWidth="1"/>
    <col min="2" max="2" width="12.42578125" bestFit="1" customWidth="1"/>
    <col min="3" max="3" width="9" bestFit="1" customWidth="1"/>
    <col min="4" max="4" width="16.5703125" bestFit="1" customWidth="1"/>
    <col min="5" max="5" width="14.85546875" bestFit="1" customWidth="1"/>
    <col min="6" max="6" width="7.5703125" bestFit="1" customWidth="1"/>
    <col min="7" max="7" width="40.140625" bestFit="1" customWidth="1"/>
    <col min="8" max="8" width="12.7109375" bestFit="1" customWidth="1"/>
    <col min="9" max="9" width="9.5703125" bestFit="1" customWidth="1"/>
    <col min="10" max="10" width="28.140625" bestFit="1" customWidth="1"/>
    <col min="11" max="11" width="12.7109375" bestFit="1" customWidth="1"/>
    <col min="12" max="12" width="15.85546875" bestFit="1" customWidth="1"/>
    <col min="13" max="13" width="14.140625" bestFit="1" customWidth="1"/>
    <col min="14" max="14" width="13.7109375" bestFit="1" customWidth="1"/>
    <col min="15" max="15" width="14.5703125" bestFit="1" customWidth="1"/>
    <col min="16" max="16" width="18.5703125" bestFit="1" customWidth="1"/>
    <col min="17" max="17" width="15.140625" bestFit="1" customWidth="1"/>
    <col min="18" max="18" width="15.7109375" bestFit="1" customWidth="1"/>
    <col min="19" max="19" width="10.42578125" bestFit="1" customWidth="1"/>
    <col min="20" max="20" width="20.85546875" bestFit="1" customWidth="1"/>
    <col min="21" max="21" width="20.42578125" bestFit="1" customWidth="1"/>
    <col min="22" max="22" width="14.28515625" bestFit="1" customWidth="1"/>
    <col min="23" max="23" width="19.28515625" bestFit="1" customWidth="1"/>
    <col min="24" max="25" width="11.42578125" bestFit="1" customWidth="1"/>
    <col min="26" max="26" width="14.140625" bestFit="1" customWidth="1"/>
  </cols>
  <sheetData>
    <row r="2" spans="1:25" ht="66" customHeight="1" x14ac:dyDescent="0.25"/>
    <row r="13" spans="1:25" x14ac:dyDescent="0.25">
      <c r="A13" s="24" t="s">
        <v>25</v>
      </c>
      <c r="B13" s="24" t="s">
        <v>26</v>
      </c>
      <c r="C13" s="24" t="s">
        <v>7</v>
      </c>
      <c r="D13" s="24" t="s">
        <v>8</v>
      </c>
      <c r="E13" s="24" t="s">
        <v>91</v>
      </c>
      <c r="F13" s="24" t="s">
        <v>28</v>
      </c>
      <c r="G13" s="24" t="s">
        <v>43</v>
      </c>
      <c r="H13" s="24" t="s">
        <v>49</v>
      </c>
      <c r="I13" s="24" t="s">
        <v>14</v>
      </c>
      <c r="J13" s="24" t="s">
        <v>13</v>
      </c>
      <c r="K13" s="24" t="s">
        <v>72</v>
      </c>
      <c r="L13" s="24" t="s">
        <v>82</v>
      </c>
      <c r="M13" t="s">
        <v>83</v>
      </c>
      <c r="N13" t="s">
        <v>69</v>
      </c>
      <c r="O13" t="s">
        <v>29</v>
      </c>
      <c r="P13" t="s">
        <v>68</v>
      </c>
      <c r="Q13" t="s">
        <v>30</v>
      </c>
      <c r="R13" t="s">
        <v>70</v>
      </c>
      <c r="S13" t="s">
        <v>71</v>
      </c>
      <c r="T13" t="s">
        <v>73</v>
      </c>
      <c r="U13" t="s">
        <v>74</v>
      </c>
      <c r="V13" t="s">
        <v>81</v>
      </c>
      <c r="W13" s="24" t="s">
        <v>298</v>
      </c>
      <c r="X13" s="24" t="s">
        <v>296</v>
      </c>
      <c r="Y13" s="24" t="s">
        <v>297</v>
      </c>
    </row>
    <row r="14" spans="1:25" x14ac:dyDescent="0.25">
      <c r="A14" s="22" t="s">
        <v>299</v>
      </c>
      <c r="B14" s="22" t="s">
        <v>300</v>
      </c>
      <c r="C14" s="22" t="s">
        <v>9</v>
      </c>
      <c r="D14" s="22" t="s">
        <v>34</v>
      </c>
      <c r="E14" s="22">
        <v>2</v>
      </c>
      <c r="F14" s="22" t="s">
        <v>39</v>
      </c>
      <c r="G14" s="22" t="s">
        <v>45</v>
      </c>
      <c r="H14" s="22" t="s">
        <v>32</v>
      </c>
      <c r="I14" s="22" t="s">
        <v>153</v>
      </c>
      <c r="J14" s="22" t="s">
        <v>77</v>
      </c>
      <c r="K14" s="22" t="s">
        <v>78</v>
      </c>
      <c r="L14" s="22" t="s">
        <v>138</v>
      </c>
      <c r="M14" s="3">
        <f ca="1">TODAY()</f>
        <v>46300</v>
      </c>
      <c r="N14" s="26" t="s">
        <v>330</v>
      </c>
      <c r="O14" t="s">
        <v>331</v>
      </c>
      <c r="P14">
        <v>77</v>
      </c>
      <c r="Q14">
        <v>50</v>
      </c>
      <c r="R14">
        <v>1</v>
      </c>
      <c r="U14" t="s">
        <v>289</v>
      </c>
      <c r="V14" t="s">
        <v>301</v>
      </c>
      <c r="W14" s="22" t="str" cm="1">
        <f t="array" ref="W14">_xlfn.SWITCH(
    TRUE,
    AND(FinalTestGrid[[#This Row],[Num Raw Test Data]]="",FinalTestGrid[[#This Row],[Text Raw Test Data]]=""),"Please enter record",
    AND(FinalTestGrid[[#This Row],[Num Raw Test Data]]&lt;&gt;"",FinalTestGrid[[#This Row],[Text Raw Test Data]]&lt;&gt;""),"Select right column",
    "Record inputted"
)</f>
        <v>Record inputted</v>
      </c>
      <c r="X14" s="22" t="str">
        <f>IF(OR(COUNTIFS(dTestRatings[Test ID],FinalTestGrid[[#This Row],[ASTM-Version]],dTestRatings[Non Interval Value],FinalTestGrid[[#This Row],[Text Raw Test Data]])&gt;0,FinalTestGrid[[#This Row],[Data Type]]="Numeric"),"PASS","FAIL")</f>
        <v>PASS</v>
      </c>
      <c r="Y14" s="22" t="str" cm="1">
        <f t="array" ref="Y14">IF(SUMPRODUCT(
    (dTestRatings[Test ID]=FinalTestGrid[[#This Row],[ASTM-Version]])*
    (FinalTestGrid[[#This Row],[Num Raw Test Data]]&gt;=dTestRatings[Minimum Interval Value])*
    (FinalTestGrid[[#This Row],[Num Raw Test Data]]&lt;=dTestRatings[Maximum Interval Value])
)&gt;0,"PASS","FAIL")</f>
        <v>PASS</v>
      </c>
    </row>
    <row r="15" spans="1:25" x14ac:dyDescent="0.25">
      <c r="A15" s="22" t="s">
        <v>299</v>
      </c>
      <c r="B15" s="22" t="s">
        <v>300</v>
      </c>
      <c r="C15" s="22" t="s">
        <v>9</v>
      </c>
      <c r="D15" s="22" t="s">
        <v>34</v>
      </c>
      <c r="E15" s="22">
        <v>2</v>
      </c>
      <c r="F15" s="22" t="s">
        <v>39</v>
      </c>
      <c r="G15" s="22" t="s">
        <v>45</v>
      </c>
      <c r="H15" s="22" t="s">
        <v>32</v>
      </c>
      <c r="I15" s="22" t="s">
        <v>155</v>
      </c>
      <c r="J15" s="22" t="s">
        <v>79</v>
      </c>
      <c r="K15" s="22" t="s">
        <v>78</v>
      </c>
      <c r="L15" s="22" t="s">
        <v>138</v>
      </c>
      <c r="M15" s="3">
        <f t="shared" ref="M15:M40" ca="1" si="0">TODAY()</f>
        <v>46300</v>
      </c>
      <c r="N15" s="26" t="s">
        <v>330</v>
      </c>
      <c r="O15" t="s">
        <v>331</v>
      </c>
      <c r="P15">
        <v>77</v>
      </c>
      <c r="Q15">
        <v>50</v>
      </c>
      <c r="R15">
        <v>1</v>
      </c>
      <c r="U15" t="s">
        <v>288</v>
      </c>
      <c r="V15" t="s">
        <v>302</v>
      </c>
      <c r="W15" s="25" t="str" cm="1">
        <f t="array" ref="W15">_xlfn.SWITCH(
    TRUE,
    AND(FinalTestGrid[[#This Row],[Num Raw Test Data]]="",FinalTestGrid[[#This Row],[Text Raw Test Data]]=""),"Please enter record",
    AND(FinalTestGrid[[#This Row],[Num Raw Test Data]]&lt;&gt;"",FinalTestGrid[[#This Row],[Text Raw Test Data]]&lt;&gt;""),"Select right column",
    "Record inputted"
)</f>
        <v>Record inputted</v>
      </c>
      <c r="X15" s="25" t="str">
        <f>IF(OR(COUNTIFS(dTestRatings[Test ID],FinalTestGrid[[#This Row],[ASTM-Version]],dTestRatings[Non Interval Value],FinalTestGrid[[#This Row],[Text Raw Test Data]])&gt;0,FinalTestGrid[[#This Row],[Data Type]]="Numeric"),"PASS","FAIL")</f>
        <v>PASS</v>
      </c>
      <c r="Y15" s="25" t="str" cm="1">
        <f t="array" ref="Y15">IF(SUMPRODUCT(
    (dTestRatings[Test ID]=FinalTestGrid[[#This Row],[ASTM-Version]])*
    (FinalTestGrid[[#This Row],[Num Raw Test Data]]&gt;=dTestRatings[Minimum Interval Value])*
    (FinalTestGrid[[#This Row],[Num Raw Test Data]]&lt;=dTestRatings[Maximum Interval Value])
)&gt;0,"PASS","FAIL")</f>
        <v>PASS</v>
      </c>
    </row>
    <row r="16" spans="1:25" x14ac:dyDescent="0.25">
      <c r="A16" s="22" t="s">
        <v>299</v>
      </c>
      <c r="B16" s="22" t="s">
        <v>300</v>
      </c>
      <c r="C16" s="22" t="s">
        <v>9</v>
      </c>
      <c r="D16" s="22" t="s">
        <v>34</v>
      </c>
      <c r="E16" s="22">
        <v>2</v>
      </c>
      <c r="F16" s="22" t="s">
        <v>39</v>
      </c>
      <c r="G16" s="22" t="s">
        <v>45</v>
      </c>
      <c r="H16" s="22" t="s">
        <v>32</v>
      </c>
      <c r="I16" s="22" t="s">
        <v>157</v>
      </c>
      <c r="J16" s="22" t="s">
        <v>158</v>
      </c>
      <c r="K16" s="22" t="s">
        <v>78</v>
      </c>
      <c r="L16" s="22" t="s">
        <v>138</v>
      </c>
      <c r="M16" s="3">
        <f t="shared" ca="1" si="0"/>
        <v>46300</v>
      </c>
      <c r="N16" s="26" t="s">
        <v>330</v>
      </c>
      <c r="O16" t="s">
        <v>331</v>
      </c>
      <c r="P16">
        <v>77</v>
      </c>
      <c r="Q16">
        <v>50</v>
      </c>
      <c r="R16">
        <v>1</v>
      </c>
      <c r="U16" t="s">
        <v>290</v>
      </c>
      <c r="V16" t="s">
        <v>303</v>
      </c>
      <c r="W16" s="25" t="str" cm="1">
        <f t="array" ref="W16">_xlfn.SWITCH(
    TRUE,
    AND(FinalTestGrid[[#This Row],[Num Raw Test Data]]="",FinalTestGrid[[#This Row],[Text Raw Test Data]]=""),"Please enter record",
    AND(FinalTestGrid[[#This Row],[Num Raw Test Data]]&lt;&gt;"",FinalTestGrid[[#This Row],[Text Raw Test Data]]&lt;&gt;""),"Select right column",
    "Record inputted"
)</f>
        <v>Record inputted</v>
      </c>
      <c r="X16" s="25" t="str">
        <f>IF(OR(COUNTIFS(dTestRatings[Test ID],FinalTestGrid[[#This Row],[ASTM-Version]],dTestRatings[Non Interval Value],FinalTestGrid[[#This Row],[Text Raw Test Data]])&gt;0,FinalTestGrid[[#This Row],[Data Type]]="Numeric"),"PASS","FAIL")</f>
        <v>PASS</v>
      </c>
      <c r="Y16" s="25" t="str" cm="1">
        <f t="array" ref="Y16">IF(SUMPRODUCT(
    (dTestRatings[Test ID]=FinalTestGrid[[#This Row],[ASTM-Version]])*
    (FinalTestGrid[[#This Row],[Num Raw Test Data]]&gt;=dTestRatings[Minimum Interval Value])*
    (FinalTestGrid[[#This Row],[Num Raw Test Data]]&lt;=dTestRatings[Maximum Interval Value])
)&gt;0,"PASS","FAIL")</f>
        <v>PASS</v>
      </c>
    </row>
    <row r="17" spans="1:25" x14ac:dyDescent="0.25">
      <c r="A17" s="22" t="s">
        <v>299</v>
      </c>
      <c r="B17" s="22" t="s">
        <v>300</v>
      </c>
      <c r="C17" s="22" t="s">
        <v>9</v>
      </c>
      <c r="D17" s="22" t="s">
        <v>34</v>
      </c>
      <c r="E17" s="22">
        <v>2</v>
      </c>
      <c r="F17" s="22" t="s">
        <v>39</v>
      </c>
      <c r="G17" s="22" t="s">
        <v>45</v>
      </c>
      <c r="H17" s="22" t="s">
        <v>32</v>
      </c>
      <c r="I17" s="22" t="s">
        <v>159</v>
      </c>
      <c r="J17" s="22" t="s">
        <v>160</v>
      </c>
      <c r="K17" s="22" t="s">
        <v>78</v>
      </c>
      <c r="L17" s="22" t="s">
        <v>138</v>
      </c>
      <c r="M17" s="3">
        <f t="shared" ca="1" si="0"/>
        <v>46300</v>
      </c>
      <c r="N17" s="26" t="s">
        <v>330</v>
      </c>
      <c r="O17" t="s">
        <v>331</v>
      </c>
      <c r="P17">
        <v>77</v>
      </c>
      <c r="Q17">
        <v>50</v>
      </c>
      <c r="R17">
        <v>1</v>
      </c>
      <c r="U17" t="s">
        <v>291</v>
      </c>
      <c r="V17" t="s">
        <v>304</v>
      </c>
      <c r="W17" s="25" t="str" cm="1">
        <f t="array" ref="W17">_xlfn.SWITCH(
    TRUE,
    AND(FinalTestGrid[[#This Row],[Num Raw Test Data]]="",FinalTestGrid[[#This Row],[Text Raw Test Data]]=""),"Please enter record",
    AND(FinalTestGrid[[#This Row],[Num Raw Test Data]]&lt;&gt;"",FinalTestGrid[[#This Row],[Text Raw Test Data]]&lt;&gt;""),"Select right column",
    "Record inputted"
)</f>
        <v>Record inputted</v>
      </c>
      <c r="X17" s="25" t="str">
        <f>IF(OR(COUNTIFS(dTestRatings[Test ID],FinalTestGrid[[#This Row],[ASTM-Version]],dTestRatings[Non Interval Value],FinalTestGrid[[#This Row],[Text Raw Test Data]])&gt;0,FinalTestGrid[[#This Row],[Data Type]]="Numeric"),"PASS","FAIL")</f>
        <v>PASS</v>
      </c>
      <c r="Y17" s="25" t="str" cm="1">
        <f t="array" ref="Y17">IF(SUMPRODUCT(
    (dTestRatings[Test ID]=FinalTestGrid[[#This Row],[ASTM-Version]])*
    (FinalTestGrid[[#This Row],[Num Raw Test Data]]&gt;=dTestRatings[Minimum Interval Value])*
    (FinalTestGrid[[#This Row],[Num Raw Test Data]]&lt;=dTestRatings[Maximum Interval Value])
)&gt;0,"PASS","FAIL")</f>
        <v>PASS</v>
      </c>
    </row>
    <row r="18" spans="1:25" x14ac:dyDescent="0.25">
      <c r="A18" s="22" t="s">
        <v>299</v>
      </c>
      <c r="B18" s="22" t="s">
        <v>300</v>
      </c>
      <c r="C18" s="22" t="s">
        <v>9</v>
      </c>
      <c r="D18" s="22" t="s">
        <v>34</v>
      </c>
      <c r="E18" s="22">
        <v>2</v>
      </c>
      <c r="F18" s="22" t="s">
        <v>39</v>
      </c>
      <c r="G18" s="22" t="s">
        <v>45</v>
      </c>
      <c r="H18" s="22" t="s">
        <v>32</v>
      </c>
      <c r="I18" s="22" t="s">
        <v>183</v>
      </c>
      <c r="J18" s="22" t="s">
        <v>185</v>
      </c>
      <c r="K18" s="22" t="s">
        <v>75</v>
      </c>
      <c r="L18" s="22" t="s">
        <v>186</v>
      </c>
      <c r="M18" s="3">
        <f t="shared" ca="1" si="0"/>
        <v>46300</v>
      </c>
      <c r="N18" s="26" t="s">
        <v>330</v>
      </c>
      <c r="O18" t="s">
        <v>331</v>
      </c>
      <c r="P18">
        <v>77</v>
      </c>
      <c r="Q18">
        <v>50</v>
      </c>
      <c r="R18">
        <v>1</v>
      </c>
      <c r="T18">
        <v>3</v>
      </c>
      <c r="V18" t="s">
        <v>305</v>
      </c>
      <c r="W18" s="25" t="str" cm="1">
        <f t="array" ref="W18">_xlfn.SWITCH(
    TRUE,
    AND(FinalTestGrid[[#This Row],[Num Raw Test Data]]="",FinalTestGrid[[#This Row],[Text Raw Test Data]]=""),"Please enter record",
    AND(FinalTestGrid[[#This Row],[Num Raw Test Data]]&lt;&gt;"",FinalTestGrid[[#This Row],[Text Raw Test Data]]&lt;&gt;""),"Select right column",
    "Record inputted"
)</f>
        <v>Record inputted</v>
      </c>
      <c r="X18" s="25" t="str">
        <f>IF(OR(COUNTIFS(dTestRatings[Test ID],FinalTestGrid[[#This Row],[ASTM-Version]],dTestRatings[Non Interval Value],FinalTestGrid[[#This Row],[Text Raw Test Data]])&gt;0,FinalTestGrid[[#This Row],[Data Type]]="Numeric"),"PASS","FAIL")</f>
        <v>PASS</v>
      </c>
      <c r="Y18" s="25" t="str" cm="1">
        <f t="array" ref="Y18">IF(SUMPRODUCT(
    (dTestRatings[Test ID]=FinalTestGrid[[#This Row],[ASTM-Version]])*
    (FinalTestGrid[[#This Row],[Num Raw Test Data]]&gt;=dTestRatings[Minimum Interval Value])*
    (FinalTestGrid[[#This Row],[Num Raw Test Data]]&lt;=dTestRatings[Maximum Interval Value])
)&gt;0,"PASS","FAIL")</f>
        <v>PASS</v>
      </c>
    </row>
    <row r="19" spans="1:25" x14ac:dyDescent="0.25">
      <c r="A19" s="22" t="s">
        <v>299</v>
      </c>
      <c r="B19" s="22" t="s">
        <v>300</v>
      </c>
      <c r="C19" s="22" t="s">
        <v>9</v>
      </c>
      <c r="D19" s="22" t="s">
        <v>34</v>
      </c>
      <c r="E19" s="22">
        <v>2</v>
      </c>
      <c r="F19" s="22" t="s">
        <v>39</v>
      </c>
      <c r="G19" s="22" t="s">
        <v>45</v>
      </c>
      <c r="H19" s="22" t="s">
        <v>32</v>
      </c>
      <c r="I19" s="22" t="s">
        <v>187</v>
      </c>
      <c r="J19" s="22" t="s">
        <v>189</v>
      </c>
      <c r="K19" s="22" t="s">
        <v>75</v>
      </c>
      <c r="L19" s="22" t="s">
        <v>186</v>
      </c>
      <c r="M19" s="3">
        <f t="shared" ca="1" si="0"/>
        <v>46300</v>
      </c>
      <c r="N19" s="26" t="s">
        <v>330</v>
      </c>
      <c r="O19" t="s">
        <v>331</v>
      </c>
      <c r="P19">
        <v>77</v>
      </c>
      <c r="Q19">
        <v>50</v>
      </c>
      <c r="R19">
        <v>1</v>
      </c>
      <c r="T19">
        <v>1</v>
      </c>
      <c r="V19" t="s">
        <v>306</v>
      </c>
      <c r="W19" s="25" t="str" cm="1">
        <f t="array" ref="W19">_xlfn.SWITCH(
    TRUE,
    AND(FinalTestGrid[[#This Row],[Num Raw Test Data]]="",FinalTestGrid[[#This Row],[Text Raw Test Data]]=""),"Please enter record",
    AND(FinalTestGrid[[#This Row],[Num Raw Test Data]]&lt;&gt;"",FinalTestGrid[[#This Row],[Text Raw Test Data]]&lt;&gt;""),"Select right column",
    "Record inputted"
)</f>
        <v>Record inputted</v>
      </c>
      <c r="X19" s="25" t="str">
        <f>IF(OR(COUNTIFS(dTestRatings[Test ID],FinalTestGrid[[#This Row],[ASTM-Version]],dTestRatings[Non Interval Value],FinalTestGrid[[#This Row],[Text Raw Test Data]])&gt;0,FinalTestGrid[[#This Row],[Data Type]]="Numeric"),"PASS","FAIL")</f>
        <v>PASS</v>
      </c>
      <c r="Y19" s="25" t="str" cm="1">
        <f t="array" ref="Y19">IF(SUMPRODUCT(
    (dTestRatings[Test ID]=FinalTestGrid[[#This Row],[ASTM-Version]])*
    (FinalTestGrid[[#This Row],[Num Raw Test Data]]&gt;=dTestRatings[Minimum Interval Value])*
    (FinalTestGrid[[#This Row],[Num Raw Test Data]]&lt;=dTestRatings[Maximum Interval Value])
)&gt;0,"PASS","FAIL")</f>
        <v>PASS</v>
      </c>
    </row>
    <row r="20" spans="1:25" x14ac:dyDescent="0.25">
      <c r="A20" s="22" t="s">
        <v>299</v>
      </c>
      <c r="B20" s="22" t="s">
        <v>300</v>
      </c>
      <c r="C20" s="22" t="s">
        <v>9</v>
      </c>
      <c r="D20" s="22" t="s">
        <v>34</v>
      </c>
      <c r="E20" s="22">
        <v>2</v>
      </c>
      <c r="F20" s="22" t="s">
        <v>39</v>
      </c>
      <c r="G20" s="22" t="s">
        <v>45</v>
      </c>
      <c r="H20" s="22" t="s">
        <v>32</v>
      </c>
      <c r="I20" s="22" t="s">
        <v>190</v>
      </c>
      <c r="J20" s="22" t="s">
        <v>192</v>
      </c>
      <c r="K20" s="22" t="s">
        <v>75</v>
      </c>
      <c r="L20" s="22" t="s">
        <v>186</v>
      </c>
      <c r="M20" s="3">
        <f t="shared" ca="1" si="0"/>
        <v>46300</v>
      </c>
      <c r="N20" s="26" t="s">
        <v>330</v>
      </c>
      <c r="O20" t="s">
        <v>331</v>
      </c>
      <c r="P20">
        <v>77</v>
      </c>
      <c r="Q20">
        <v>50</v>
      </c>
      <c r="R20">
        <v>1</v>
      </c>
      <c r="T20">
        <v>2</v>
      </c>
      <c r="V20" t="s">
        <v>307</v>
      </c>
      <c r="W20" s="25" t="str" cm="1">
        <f t="array" ref="W20">_xlfn.SWITCH(
    TRUE,
    AND(FinalTestGrid[[#This Row],[Num Raw Test Data]]="",FinalTestGrid[[#This Row],[Text Raw Test Data]]=""),"Please enter record",
    AND(FinalTestGrid[[#This Row],[Num Raw Test Data]]&lt;&gt;"",FinalTestGrid[[#This Row],[Text Raw Test Data]]&lt;&gt;""),"Select right column",
    "Record inputted"
)</f>
        <v>Record inputted</v>
      </c>
      <c r="X20" s="25" t="str">
        <f>IF(OR(COUNTIFS(dTestRatings[Test ID],FinalTestGrid[[#This Row],[ASTM-Version]],dTestRatings[Non Interval Value],FinalTestGrid[[#This Row],[Text Raw Test Data]])&gt;0,FinalTestGrid[[#This Row],[Data Type]]="Numeric"),"PASS","FAIL")</f>
        <v>PASS</v>
      </c>
      <c r="Y20" s="25" t="str" cm="1">
        <f t="array" ref="Y20">IF(SUMPRODUCT(
    (dTestRatings[Test ID]=FinalTestGrid[[#This Row],[ASTM-Version]])*
    (FinalTestGrid[[#This Row],[Num Raw Test Data]]&gt;=dTestRatings[Minimum Interval Value])*
    (FinalTestGrid[[#This Row],[Num Raw Test Data]]&lt;=dTestRatings[Maximum Interval Value])
)&gt;0,"PASS","FAIL")</f>
        <v>PASS</v>
      </c>
    </row>
    <row r="21" spans="1:25" x14ac:dyDescent="0.25">
      <c r="A21" s="22" t="s">
        <v>299</v>
      </c>
      <c r="B21" s="22" t="s">
        <v>300</v>
      </c>
      <c r="C21" s="22" t="s">
        <v>9</v>
      </c>
      <c r="D21" s="22" t="s">
        <v>34</v>
      </c>
      <c r="E21" s="22">
        <v>2</v>
      </c>
      <c r="F21" s="22" t="s">
        <v>39</v>
      </c>
      <c r="G21" s="22" t="s">
        <v>45</v>
      </c>
      <c r="H21" s="22" t="s">
        <v>32</v>
      </c>
      <c r="I21" s="22" t="s">
        <v>193</v>
      </c>
      <c r="J21" s="22" t="s">
        <v>195</v>
      </c>
      <c r="K21" s="22" t="s">
        <v>75</v>
      </c>
      <c r="L21" s="22" t="s">
        <v>186</v>
      </c>
      <c r="M21" s="3">
        <f t="shared" ca="1" si="0"/>
        <v>46300</v>
      </c>
      <c r="N21" s="26" t="s">
        <v>330</v>
      </c>
      <c r="O21" t="s">
        <v>331</v>
      </c>
      <c r="P21">
        <v>77</v>
      </c>
      <c r="Q21">
        <v>50</v>
      </c>
      <c r="R21">
        <v>1</v>
      </c>
      <c r="T21">
        <v>5</v>
      </c>
      <c r="V21" t="s">
        <v>308</v>
      </c>
      <c r="W21" s="25" t="str" cm="1">
        <f t="array" ref="W21">_xlfn.SWITCH(
    TRUE,
    AND(FinalTestGrid[[#This Row],[Num Raw Test Data]]="",FinalTestGrid[[#This Row],[Text Raw Test Data]]=""),"Please enter record",
    AND(FinalTestGrid[[#This Row],[Num Raw Test Data]]&lt;&gt;"",FinalTestGrid[[#This Row],[Text Raw Test Data]]&lt;&gt;""),"Select right column",
    "Record inputted"
)</f>
        <v>Record inputted</v>
      </c>
      <c r="X21" s="25" t="str">
        <f>IF(OR(COUNTIFS(dTestRatings[Test ID],FinalTestGrid[[#This Row],[ASTM-Version]],dTestRatings[Non Interval Value],FinalTestGrid[[#This Row],[Text Raw Test Data]])&gt;0,FinalTestGrid[[#This Row],[Data Type]]="Numeric"),"PASS","FAIL")</f>
        <v>PASS</v>
      </c>
      <c r="Y21" s="25" t="str" cm="1">
        <f t="array" ref="Y21">IF(SUMPRODUCT(
    (dTestRatings[Test ID]=FinalTestGrid[[#This Row],[ASTM-Version]])*
    (FinalTestGrid[[#This Row],[Num Raw Test Data]]&gt;=dTestRatings[Minimum Interval Value])*
    (FinalTestGrid[[#This Row],[Num Raw Test Data]]&lt;=dTestRatings[Maximum Interval Value])
)&gt;0,"PASS","FAIL")</f>
        <v>PASS</v>
      </c>
    </row>
    <row r="22" spans="1:25" x14ac:dyDescent="0.25">
      <c r="A22" s="22" t="s">
        <v>299</v>
      </c>
      <c r="B22" s="22" t="s">
        <v>300</v>
      </c>
      <c r="C22" s="22" t="s">
        <v>9</v>
      </c>
      <c r="D22" s="22" t="s">
        <v>34</v>
      </c>
      <c r="E22" s="22">
        <v>2</v>
      </c>
      <c r="F22" s="22" t="s">
        <v>39</v>
      </c>
      <c r="G22" s="22" t="s">
        <v>45</v>
      </c>
      <c r="H22" s="22" t="s">
        <v>32</v>
      </c>
      <c r="I22" s="22" t="s">
        <v>177</v>
      </c>
      <c r="J22" s="22" t="s">
        <v>178</v>
      </c>
      <c r="K22" s="22" t="s">
        <v>75</v>
      </c>
      <c r="L22" s="22" t="s">
        <v>179</v>
      </c>
      <c r="M22" s="3">
        <f t="shared" ca="1" si="0"/>
        <v>46300</v>
      </c>
      <c r="N22" s="26" t="s">
        <v>330</v>
      </c>
      <c r="O22" t="s">
        <v>331</v>
      </c>
      <c r="P22">
        <v>77</v>
      </c>
      <c r="Q22">
        <v>50</v>
      </c>
      <c r="R22">
        <v>1</v>
      </c>
      <c r="T22">
        <v>5</v>
      </c>
      <c r="V22" t="s">
        <v>309</v>
      </c>
      <c r="W22" s="25" t="str" cm="1">
        <f t="array" ref="W22">_xlfn.SWITCH(
    TRUE,
    AND(FinalTestGrid[[#This Row],[Num Raw Test Data]]="",FinalTestGrid[[#This Row],[Text Raw Test Data]]=""),"Please enter record",
    AND(FinalTestGrid[[#This Row],[Num Raw Test Data]]&lt;&gt;"",FinalTestGrid[[#This Row],[Text Raw Test Data]]&lt;&gt;""),"Select right column",
    "Record inputted"
)</f>
        <v>Record inputted</v>
      </c>
      <c r="X22" s="25" t="str">
        <f>IF(OR(COUNTIFS(dTestRatings[Test ID],FinalTestGrid[[#This Row],[ASTM-Version]],dTestRatings[Non Interval Value],FinalTestGrid[[#This Row],[Text Raw Test Data]])&gt;0,FinalTestGrid[[#This Row],[Data Type]]="Numeric"),"PASS","FAIL")</f>
        <v>PASS</v>
      </c>
      <c r="Y22" s="25" t="str" cm="1">
        <f t="array" ref="Y22">IF(SUMPRODUCT(
    (dTestRatings[Test ID]=FinalTestGrid[[#This Row],[ASTM-Version]])*
    (FinalTestGrid[[#This Row],[Num Raw Test Data]]&gt;=dTestRatings[Minimum Interval Value])*
    (FinalTestGrid[[#This Row],[Num Raw Test Data]]&lt;=dTestRatings[Maximum Interval Value])
)&gt;0,"PASS","FAIL")</f>
        <v>PASS</v>
      </c>
    </row>
    <row r="23" spans="1:25" x14ac:dyDescent="0.25">
      <c r="A23" s="22" t="s">
        <v>299</v>
      </c>
      <c r="B23" s="22" t="s">
        <v>310</v>
      </c>
      <c r="C23" s="22" t="s">
        <v>9</v>
      </c>
      <c r="D23" s="22" t="s">
        <v>34</v>
      </c>
      <c r="E23" s="22">
        <v>2</v>
      </c>
      <c r="F23" s="22" t="s">
        <v>39</v>
      </c>
      <c r="G23" s="22" t="s">
        <v>104</v>
      </c>
      <c r="H23" s="22" t="s">
        <v>102</v>
      </c>
      <c r="I23" s="22" t="s">
        <v>153</v>
      </c>
      <c r="J23" s="22" t="s">
        <v>77</v>
      </c>
      <c r="K23" s="22" t="s">
        <v>78</v>
      </c>
      <c r="L23" s="22" t="s">
        <v>138</v>
      </c>
      <c r="M23" s="3">
        <f t="shared" ca="1" si="0"/>
        <v>46300</v>
      </c>
      <c r="N23" s="26" t="s">
        <v>330</v>
      </c>
      <c r="O23" t="s">
        <v>331</v>
      </c>
      <c r="P23">
        <v>77</v>
      </c>
      <c r="Q23">
        <v>50</v>
      </c>
      <c r="R23">
        <v>1</v>
      </c>
      <c r="U23" t="s">
        <v>289</v>
      </c>
      <c r="V23" t="s">
        <v>311</v>
      </c>
      <c r="W23" s="25" t="str" cm="1">
        <f t="array" ref="W23">_xlfn.SWITCH(
    TRUE,
    AND(FinalTestGrid[[#This Row],[Num Raw Test Data]]="",FinalTestGrid[[#This Row],[Text Raw Test Data]]=""),"Please enter record",
    AND(FinalTestGrid[[#This Row],[Num Raw Test Data]]&lt;&gt;"",FinalTestGrid[[#This Row],[Text Raw Test Data]]&lt;&gt;""),"Select right column",
    "Record inputted"
)</f>
        <v>Record inputted</v>
      </c>
      <c r="X23" s="25" t="str">
        <f>IF(OR(COUNTIFS(dTestRatings[Test ID],FinalTestGrid[[#This Row],[ASTM-Version]],dTestRatings[Non Interval Value],FinalTestGrid[[#This Row],[Text Raw Test Data]])&gt;0,FinalTestGrid[[#This Row],[Data Type]]="Numeric"),"PASS","FAIL")</f>
        <v>PASS</v>
      </c>
      <c r="Y23" s="25" t="str" cm="1">
        <f t="array" ref="Y23">IF(SUMPRODUCT(
    (dTestRatings[Test ID]=FinalTestGrid[[#This Row],[ASTM-Version]])*
    (FinalTestGrid[[#This Row],[Num Raw Test Data]]&gt;=dTestRatings[Minimum Interval Value])*
    (FinalTestGrid[[#This Row],[Num Raw Test Data]]&lt;=dTestRatings[Maximum Interval Value])
)&gt;0,"PASS","FAIL")</f>
        <v>PASS</v>
      </c>
    </row>
    <row r="24" spans="1:25" x14ac:dyDescent="0.25">
      <c r="A24" s="22" t="s">
        <v>299</v>
      </c>
      <c r="B24" s="22" t="s">
        <v>310</v>
      </c>
      <c r="C24" s="22" t="s">
        <v>9</v>
      </c>
      <c r="D24" s="22" t="s">
        <v>34</v>
      </c>
      <c r="E24" s="22">
        <v>2</v>
      </c>
      <c r="F24" s="22" t="s">
        <v>39</v>
      </c>
      <c r="G24" s="22" t="s">
        <v>104</v>
      </c>
      <c r="H24" s="22" t="s">
        <v>102</v>
      </c>
      <c r="I24" s="22" t="s">
        <v>155</v>
      </c>
      <c r="J24" s="22" t="s">
        <v>79</v>
      </c>
      <c r="K24" s="22" t="s">
        <v>78</v>
      </c>
      <c r="L24" s="22" t="s">
        <v>138</v>
      </c>
      <c r="M24" s="3">
        <f t="shared" ca="1" si="0"/>
        <v>46300</v>
      </c>
      <c r="N24" s="26" t="s">
        <v>330</v>
      </c>
      <c r="O24" t="s">
        <v>331</v>
      </c>
      <c r="P24">
        <v>77</v>
      </c>
      <c r="Q24">
        <v>50</v>
      </c>
      <c r="R24">
        <v>1</v>
      </c>
      <c r="U24" t="s">
        <v>288</v>
      </c>
      <c r="V24" t="s">
        <v>312</v>
      </c>
      <c r="W24" s="25" t="str" cm="1">
        <f t="array" ref="W24">_xlfn.SWITCH(
    TRUE,
    AND(FinalTestGrid[[#This Row],[Num Raw Test Data]]="",FinalTestGrid[[#This Row],[Text Raw Test Data]]=""),"Please enter record",
    AND(FinalTestGrid[[#This Row],[Num Raw Test Data]]&lt;&gt;"",FinalTestGrid[[#This Row],[Text Raw Test Data]]&lt;&gt;""),"Select right column",
    "Record inputted"
)</f>
        <v>Record inputted</v>
      </c>
      <c r="X24" s="25" t="str">
        <f>IF(OR(COUNTIFS(dTestRatings[Test ID],FinalTestGrid[[#This Row],[ASTM-Version]],dTestRatings[Non Interval Value],FinalTestGrid[[#This Row],[Text Raw Test Data]])&gt;0,FinalTestGrid[[#This Row],[Data Type]]="Numeric"),"PASS","FAIL")</f>
        <v>PASS</v>
      </c>
      <c r="Y24" s="25" t="str" cm="1">
        <f t="array" ref="Y24">IF(SUMPRODUCT(
    (dTestRatings[Test ID]=FinalTestGrid[[#This Row],[ASTM-Version]])*
    (FinalTestGrid[[#This Row],[Num Raw Test Data]]&gt;=dTestRatings[Minimum Interval Value])*
    (FinalTestGrid[[#This Row],[Num Raw Test Data]]&lt;=dTestRatings[Maximum Interval Value])
)&gt;0,"PASS","FAIL")</f>
        <v>PASS</v>
      </c>
    </row>
    <row r="25" spans="1:25" x14ac:dyDescent="0.25">
      <c r="A25" s="22" t="s">
        <v>299</v>
      </c>
      <c r="B25" s="22" t="s">
        <v>310</v>
      </c>
      <c r="C25" s="22" t="s">
        <v>9</v>
      </c>
      <c r="D25" s="22" t="s">
        <v>34</v>
      </c>
      <c r="E25" s="22">
        <v>2</v>
      </c>
      <c r="F25" s="22" t="s">
        <v>39</v>
      </c>
      <c r="G25" s="22" t="s">
        <v>104</v>
      </c>
      <c r="H25" s="22" t="s">
        <v>102</v>
      </c>
      <c r="I25" s="22" t="s">
        <v>157</v>
      </c>
      <c r="J25" s="22" t="s">
        <v>158</v>
      </c>
      <c r="K25" s="22" t="s">
        <v>78</v>
      </c>
      <c r="L25" s="22" t="s">
        <v>138</v>
      </c>
      <c r="M25" s="3">
        <f t="shared" ca="1" si="0"/>
        <v>46300</v>
      </c>
      <c r="N25" s="26" t="s">
        <v>330</v>
      </c>
      <c r="O25" t="s">
        <v>331</v>
      </c>
      <c r="P25">
        <v>77</v>
      </c>
      <c r="Q25">
        <v>50</v>
      </c>
      <c r="R25">
        <v>1</v>
      </c>
      <c r="U25" t="s">
        <v>290</v>
      </c>
      <c r="V25" t="s">
        <v>313</v>
      </c>
      <c r="W25" s="25" t="str" cm="1">
        <f t="array" ref="W25">_xlfn.SWITCH(
    TRUE,
    AND(FinalTestGrid[[#This Row],[Num Raw Test Data]]="",FinalTestGrid[[#This Row],[Text Raw Test Data]]=""),"Please enter record",
    AND(FinalTestGrid[[#This Row],[Num Raw Test Data]]&lt;&gt;"",FinalTestGrid[[#This Row],[Text Raw Test Data]]&lt;&gt;""),"Select right column",
    "Record inputted"
)</f>
        <v>Record inputted</v>
      </c>
      <c r="X25" s="25" t="str">
        <f>IF(OR(COUNTIFS(dTestRatings[Test ID],FinalTestGrid[[#This Row],[ASTM-Version]],dTestRatings[Non Interval Value],FinalTestGrid[[#This Row],[Text Raw Test Data]])&gt;0,FinalTestGrid[[#This Row],[Data Type]]="Numeric"),"PASS","FAIL")</f>
        <v>PASS</v>
      </c>
      <c r="Y25" s="25" t="str" cm="1">
        <f t="array" ref="Y25">IF(SUMPRODUCT(
    (dTestRatings[Test ID]=FinalTestGrid[[#This Row],[ASTM-Version]])*
    (FinalTestGrid[[#This Row],[Num Raw Test Data]]&gt;=dTestRatings[Minimum Interval Value])*
    (FinalTestGrid[[#This Row],[Num Raw Test Data]]&lt;=dTestRatings[Maximum Interval Value])
)&gt;0,"PASS","FAIL")</f>
        <v>PASS</v>
      </c>
    </row>
    <row r="26" spans="1:25" x14ac:dyDescent="0.25">
      <c r="A26" s="22" t="s">
        <v>299</v>
      </c>
      <c r="B26" s="22" t="s">
        <v>310</v>
      </c>
      <c r="C26" s="22" t="s">
        <v>9</v>
      </c>
      <c r="D26" s="22" t="s">
        <v>34</v>
      </c>
      <c r="E26" s="22">
        <v>2</v>
      </c>
      <c r="F26" s="22" t="s">
        <v>39</v>
      </c>
      <c r="G26" s="22" t="s">
        <v>104</v>
      </c>
      <c r="H26" s="22" t="s">
        <v>102</v>
      </c>
      <c r="I26" s="22" t="s">
        <v>159</v>
      </c>
      <c r="J26" s="22" t="s">
        <v>160</v>
      </c>
      <c r="K26" s="22" t="s">
        <v>78</v>
      </c>
      <c r="L26" s="22" t="s">
        <v>138</v>
      </c>
      <c r="M26" s="3">
        <f t="shared" ca="1" si="0"/>
        <v>46300</v>
      </c>
      <c r="N26" s="26" t="s">
        <v>330</v>
      </c>
      <c r="O26" t="s">
        <v>331</v>
      </c>
      <c r="P26">
        <v>77</v>
      </c>
      <c r="Q26">
        <v>50</v>
      </c>
      <c r="R26">
        <v>1</v>
      </c>
      <c r="U26" t="s">
        <v>291</v>
      </c>
      <c r="V26" t="s">
        <v>314</v>
      </c>
      <c r="W26" s="25" t="str" cm="1">
        <f t="array" ref="W26">_xlfn.SWITCH(
    TRUE,
    AND(FinalTestGrid[[#This Row],[Num Raw Test Data]]="",FinalTestGrid[[#This Row],[Text Raw Test Data]]=""),"Please enter record",
    AND(FinalTestGrid[[#This Row],[Num Raw Test Data]]&lt;&gt;"",FinalTestGrid[[#This Row],[Text Raw Test Data]]&lt;&gt;""),"Select right column",
    "Record inputted"
)</f>
        <v>Record inputted</v>
      </c>
      <c r="X26" s="25" t="str">
        <f>IF(OR(COUNTIFS(dTestRatings[Test ID],FinalTestGrid[[#This Row],[ASTM-Version]],dTestRatings[Non Interval Value],FinalTestGrid[[#This Row],[Text Raw Test Data]])&gt;0,FinalTestGrid[[#This Row],[Data Type]]="Numeric"),"PASS","FAIL")</f>
        <v>PASS</v>
      </c>
      <c r="Y26" s="25" t="str" cm="1">
        <f t="array" ref="Y26">IF(SUMPRODUCT(
    (dTestRatings[Test ID]=FinalTestGrid[[#This Row],[ASTM-Version]])*
    (FinalTestGrid[[#This Row],[Num Raw Test Data]]&gt;=dTestRatings[Minimum Interval Value])*
    (FinalTestGrid[[#This Row],[Num Raw Test Data]]&lt;=dTestRatings[Maximum Interval Value])
)&gt;0,"PASS","FAIL")</f>
        <v>PASS</v>
      </c>
    </row>
    <row r="27" spans="1:25" x14ac:dyDescent="0.25">
      <c r="A27" s="22" t="s">
        <v>299</v>
      </c>
      <c r="B27" s="22" t="s">
        <v>310</v>
      </c>
      <c r="C27" s="22" t="s">
        <v>9</v>
      </c>
      <c r="D27" s="22" t="s">
        <v>34</v>
      </c>
      <c r="E27" s="22">
        <v>2</v>
      </c>
      <c r="F27" s="22" t="s">
        <v>39</v>
      </c>
      <c r="G27" s="22" t="s">
        <v>104</v>
      </c>
      <c r="H27" s="22" t="s">
        <v>102</v>
      </c>
      <c r="I27" s="22" t="s">
        <v>183</v>
      </c>
      <c r="J27" s="22" t="s">
        <v>185</v>
      </c>
      <c r="K27" s="22" t="s">
        <v>75</v>
      </c>
      <c r="L27" s="22" t="s">
        <v>186</v>
      </c>
      <c r="M27" s="3">
        <f t="shared" ca="1" si="0"/>
        <v>46300</v>
      </c>
      <c r="N27" s="26" t="s">
        <v>330</v>
      </c>
      <c r="O27" t="s">
        <v>331</v>
      </c>
      <c r="P27">
        <v>77</v>
      </c>
      <c r="Q27">
        <v>50</v>
      </c>
      <c r="R27">
        <v>1</v>
      </c>
      <c r="T27">
        <v>2</v>
      </c>
      <c r="V27" t="s">
        <v>315</v>
      </c>
      <c r="W27" s="25" t="str" cm="1">
        <f t="array" ref="W27">_xlfn.SWITCH(
    TRUE,
    AND(FinalTestGrid[[#This Row],[Num Raw Test Data]]="",FinalTestGrid[[#This Row],[Text Raw Test Data]]=""),"Please enter record",
    AND(FinalTestGrid[[#This Row],[Num Raw Test Data]]&lt;&gt;"",FinalTestGrid[[#This Row],[Text Raw Test Data]]&lt;&gt;""),"Select right column",
    "Record inputted"
)</f>
        <v>Record inputted</v>
      </c>
      <c r="X27" s="25" t="str">
        <f>IF(OR(COUNTIFS(dTestRatings[Test ID],FinalTestGrid[[#This Row],[ASTM-Version]],dTestRatings[Non Interval Value],FinalTestGrid[[#This Row],[Text Raw Test Data]])&gt;0,FinalTestGrid[[#This Row],[Data Type]]="Numeric"),"PASS","FAIL")</f>
        <v>PASS</v>
      </c>
      <c r="Y27" s="25" t="str" cm="1">
        <f t="array" ref="Y27">IF(SUMPRODUCT(
    (dTestRatings[Test ID]=FinalTestGrid[[#This Row],[ASTM-Version]])*
    (FinalTestGrid[[#This Row],[Num Raw Test Data]]&gt;=dTestRatings[Minimum Interval Value])*
    (FinalTestGrid[[#This Row],[Num Raw Test Data]]&lt;=dTestRatings[Maximum Interval Value])
)&gt;0,"PASS","FAIL")</f>
        <v>PASS</v>
      </c>
    </row>
    <row r="28" spans="1:25" x14ac:dyDescent="0.25">
      <c r="A28" s="22" t="s">
        <v>299</v>
      </c>
      <c r="B28" s="22" t="s">
        <v>310</v>
      </c>
      <c r="C28" s="22" t="s">
        <v>9</v>
      </c>
      <c r="D28" s="22" t="s">
        <v>34</v>
      </c>
      <c r="E28" s="22">
        <v>2</v>
      </c>
      <c r="F28" s="22" t="s">
        <v>39</v>
      </c>
      <c r="G28" s="22" t="s">
        <v>104</v>
      </c>
      <c r="H28" s="22" t="s">
        <v>102</v>
      </c>
      <c r="I28" s="22" t="s">
        <v>187</v>
      </c>
      <c r="J28" s="22" t="s">
        <v>189</v>
      </c>
      <c r="K28" s="22" t="s">
        <v>75</v>
      </c>
      <c r="L28" s="22" t="s">
        <v>186</v>
      </c>
      <c r="M28" s="3">
        <f t="shared" ca="1" si="0"/>
        <v>46300</v>
      </c>
      <c r="N28" s="26" t="s">
        <v>330</v>
      </c>
      <c r="O28" t="s">
        <v>331</v>
      </c>
      <c r="P28">
        <v>77</v>
      </c>
      <c r="Q28">
        <v>50</v>
      </c>
      <c r="R28">
        <v>1</v>
      </c>
      <c r="T28">
        <v>3</v>
      </c>
      <c r="V28" t="s">
        <v>316</v>
      </c>
      <c r="W28" s="25" t="str" cm="1">
        <f t="array" ref="W28">_xlfn.SWITCH(
    TRUE,
    AND(FinalTestGrid[[#This Row],[Num Raw Test Data]]="",FinalTestGrid[[#This Row],[Text Raw Test Data]]=""),"Please enter record",
    AND(FinalTestGrid[[#This Row],[Num Raw Test Data]]&lt;&gt;"",FinalTestGrid[[#This Row],[Text Raw Test Data]]&lt;&gt;""),"Select right column",
    "Record inputted"
)</f>
        <v>Record inputted</v>
      </c>
      <c r="X28" s="25" t="str">
        <f>IF(OR(COUNTIFS(dTestRatings[Test ID],FinalTestGrid[[#This Row],[ASTM-Version]],dTestRatings[Non Interval Value],FinalTestGrid[[#This Row],[Text Raw Test Data]])&gt;0,FinalTestGrid[[#This Row],[Data Type]]="Numeric"),"PASS","FAIL")</f>
        <v>PASS</v>
      </c>
      <c r="Y28" s="25" t="str" cm="1">
        <f t="array" ref="Y28">IF(SUMPRODUCT(
    (dTestRatings[Test ID]=FinalTestGrid[[#This Row],[ASTM-Version]])*
    (FinalTestGrid[[#This Row],[Num Raw Test Data]]&gt;=dTestRatings[Minimum Interval Value])*
    (FinalTestGrid[[#This Row],[Num Raw Test Data]]&lt;=dTestRatings[Maximum Interval Value])
)&gt;0,"PASS","FAIL")</f>
        <v>PASS</v>
      </c>
    </row>
    <row r="29" spans="1:25" x14ac:dyDescent="0.25">
      <c r="A29" s="22" t="s">
        <v>299</v>
      </c>
      <c r="B29" s="22" t="s">
        <v>310</v>
      </c>
      <c r="C29" s="22" t="s">
        <v>9</v>
      </c>
      <c r="D29" s="22" t="s">
        <v>34</v>
      </c>
      <c r="E29" s="22">
        <v>2</v>
      </c>
      <c r="F29" s="22" t="s">
        <v>39</v>
      </c>
      <c r="G29" s="22" t="s">
        <v>104</v>
      </c>
      <c r="H29" s="22" t="s">
        <v>102</v>
      </c>
      <c r="I29" s="22" t="s">
        <v>190</v>
      </c>
      <c r="J29" s="22" t="s">
        <v>192</v>
      </c>
      <c r="K29" s="22" t="s">
        <v>75</v>
      </c>
      <c r="L29" s="22" t="s">
        <v>186</v>
      </c>
      <c r="M29" s="3">
        <f t="shared" ca="1" si="0"/>
        <v>46300</v>
      </c>
      <c r="N29" s="26" t="s">
        <v>330</v>
      </c>
      <c r="O29" t="s">
        <v>331</v>
      </c>
      <c r="P29">
        <v>77</v>
      </c>
      <c r="Q29">
        <v>50</v>
      </c>
      <c r="R29">
        <v>1</v>
      </c>
      <c r="T29">
        <v>1</v>
      </c>
      <c r="V29" t="s">
        <v>317</v>
      </c>
      <c r="W29" s="25" t="str" cm="1">
        <f t="array" ref="W29">_xlfn.SWITCH(
    TRUE,
    AND(FinalTestGrid[[#This Row],[Num Raw Test Data]]="",FinalTestGrid[[#This Row],[Text Raw Test Data]]=""),"Please enter record",
    AND(FinalTestGrid[[#This Row],[Num Raw Test Data]]&lt;&gt;"",FinalTestGrid[[#This Row],[Text Raw Test Data]]&lt;&gt;""),"Select right column",
    "Record inputted"
)</f>
        <v>Record inputted</v>
      </c>
      <c r="X29" s="25" t="str">
        <f>IF(OR(COUNTIFS(dTestRatings[Test ID],FinalTestGrid[[#This Row],[ASTM-Version]],dTestRatings[Non Interval Value],FinalTestGrid[[#This Row],[Text Raw Test Data]])&gt;0,FinalTestGrid[[#This Row],[Data Type]]="Numeric"),"PASS","FAIL")</f>
        <v>PASS</v>
      </c>
      <c r="Y29" s="25" t="str" cm="1">
        <f t="array" ref="Y29">IF(SUMPRODUCT(
    (dTestRatings[Test ID]=FinalTestGrid[[#This Row],[ASTM-Version]])*
    (FinalTestGrid[[#This Row],[Num Raw Test Data]]&gt;=dTestRatings[Minimum Interval Value])*
    (FinalTestGrid[[#This Row],[Num Raw Test Data]]&lt;=dTestRatings[Maximum Interval Value])
)&gt;0,"PASS","FAIL")</f>
        <v>PASS</v>
      </c>
    </row>
    <row r="30" spans="1:25" x14ac:dyDescent="0.25">
      <c r="A30" s="22" t="s">
        <v>299</v>
      </c>
      <c r="B30" s="22" t="s">
        <v>310</v>
      </c>
      <c r="C30" s="22" t="s">
        <v>9</v>
      </c>
      <c r="D30" s="22" t="s">
        <v>34</v>
      </c>
      <c r="E30" s="22">
        <v>2</v>
      </c>
      <c r="F30" s="22" t="s">
        <v>39</v>
      </c>
      <c r="G30" s="22" t="s">
        <v>104</v>
      </c>
      <c r="H30" s="22" t="s">
        <v>102</v>
      </c>
      <c r="I30" s="22" t="s">
        <v>193</v>
      </c>
      <c r="J30" s="22" t="s">
        <v>195</v>
      </c>
      <c r="K30" s="22" t="s">
        <v>75</v>
      </c>
      <c r="L30" s="22" t="s">
        <v>186</v>
      </c>
      <c r="M30" s="3">
        <f t="shared" ca="1" si="0"/>
        <v>46300</v>
      </c>
      <c r="N30" s="26" t="s">
        <v>330</v>
      </c>
      <c r="O30" t="s">
        <v>331</v>
      </c>
      <c r="P30">
        <v>77</v>
      </c>
      <c r="Q30">
        <v>50</v>
      </c>
      <c r="R30">
        <v>1</v>
      </c>
      <c r="T30">
        <v>3</v>
      </c>
      <c r="V30" t="s">
        <v>318</v>
      </c>
      <c r="W30" s="25" t="str" cm="1">
        <f t="array" ref="W30">_xlfn.SWITCH(
    TRUE,
    AND(FinalTestGrid[[#This Row],[Num Raw Test Data]]="",FinalTestGrid[[#This Row],[Text Raw Test Data]]=""),"Please enter record",
    AND(FinalTestGrid[[#This Row],[Num Raw Test Data]]&lt;&gt;"",FinalTestGrid[[#This Row],[Text Raw Test Data]]&lt;&gt;""),"Select right column",
    "Record inputted"
)</f>
        <v>Record inputted</v>
      </c>
      <c r="X30" s="25" t="str">
        <f>IF(OR(COUNTIFS(dTestRatings[Test ID],FinalTestGrid[[#This Row],[ASTM-Version]],dTestRatings[Non Interval Value],FinalTestGrid[[#This Row],[Text Raw Test Data]])&gt;0,FinalTestGrid[[#This Row],[Data Type]]="Numeric"),"PASS","FAIL")</f>
        <v>PASS</v>
      </c>
      <c r="Y30" s="25" t="str" cm="1">
        <f t="array" ref="Y30">IF(SUMPRODUCT(
    (dTestRatings[Test ID]=FinalTestGrid[[#This Row],[ASTM-Version]])*
    (FinalTestGrid[[#This Row],[Num Raw Test Data]]&gt;=dTestRatings[Minimum Interval Value])*
    (FinalTestGrid[[#This Row],[Num Raw Test Data]]&lt;=dTestRatings[Maximum Interval Value])
)&gt;0,"PASS","FAIL")</f>
        <v>PASS</v>
      </c>
    </row>
    <row r="31" spans="1:25" x14ac:dyDescent="0.25">
      <c r="A31" s="22" t="s">
        <v>299</v>
      </c>
      <c r="B31" s="22" t="s">
        <v>310</v>
      </c>
      <c r="C31" s="22" t="s">
        <v>9</v>
      </c>
      <c r="D31" s="22" t="s">
        <v>34</v>
      </c>
      <c r="E31" s="22">
        <v>2</v>
      </c>
      <c r="F31" s="22" t="s">
        <v>39</v>
      </c>
      <c r="G31" s="22" t="s">
        <v>104</v>
      </c>
      <c r="H31" s="22" t="s">
        <v>102</v>
      </c>
      <c r="I31" s="22" t="s">
        <v>177</v>
      </c>
      <c r="J31" s="22" t="s">
        <v>178</v>
      </c>
      <c r="K31" s="22" t="s">
        <v>75</v>
      </c>
      <c r="L31" s="22" t="s">
        <v>179</v>
      </c>
      <c r="M31" s="3">
        <f t="shared" ca="1" si="0"/>
        <v>46300</v>
      </c>
      <c r="N31" s="26" t="s">
        <v>330</v>
      </c>
      <c r="O31" t="s">
        <v>331</v>
      </c>
      <c r="P31">
        <v>77</v>
      </c>
      <c r="Q31">
        <v>50</v>
      </c>
      <c r="R31">
        <v>1</v>
      </c>
      <c r="T31">
        <v>5</v>
      </c>
      <c r="V31" t="s">
        <v>319</v>
      </c>
      <c r="W31" s="25" t="str" cm="1">
        <f t="array" ref="W31">_xlfn.SWITCH(
    TRUE,
    AND(FinalTestGrid[[#This Row],[Num Raw Test Data]]="",FinalTestGrid[[#This Row],[Text Raw Test Data]]=""),"Please enter record",
    AND(FinalTestGrid[[#This Row],[Num Raw Test Data]]&lt;&gt;"",FinalTestGrid[[#This Row],[Text Raw Test Data]]&lt;&gt;""),"Select right column",
    "Record inputted"
)</f>
        <v>Record inputted</v>
      </c>
      <c r="X31" s="25" t="str">
        <f>IF(OR(COUNTIFS(dTestRatings[Test ID],FinalTestGrid[[#This Row],[ASTM-Version]],dTestRatings[Non Interval Value],FinalTestGrid[[#This Row],[Text Raw Test Data]])&gt;0,FinalTestGrid[[#This Row],[Data Type]]="Numeric"),"PASS","FAIL")</f>
        <v>PASS</v>
      </c>
      <c r="Y31" s="25" t="str" cm="1">
        <f t="array" ref="Y31">IF(SUMPRODUCT(
    (dTestRatings[Test ID]=FinalTestGrid[[#This Row],[ASTM-Version]])*
    (FinalTestGrid[[#This Row],[Num Raw Test Data]]&gt;=dTestRatings[Minimum Interval Value])*
    (FinalTestGrid[[#This Row],[Num Raw Test Data]]&lt;=dTestRatings[Maximum Interval Value])
)&gt;0,"PASS","FAIL")</f>
        <v>PASS</v>
      </c>
    </row>
    <row r="32" spans="1:25" x14ac:dyDescent="0.25">
      <c r="A32" s="22" t="s">
        <v>299</v>
      </c>
      <c r="B32" s="22" t="s">
        <v>320</v>
      </c>
      <c r="C32" s="22" t="s">
        <v>9</v>
      </c>
      <c r="D32" s="22" t="s">
        <v>34</v>
      </c>
      <c r="E32" s="22">
        <v>1</v>
      </c>
      <c r="F32" s="22" t="s">
        <v>39</v>
      </c>
      <c r="G32" s="22" t="s">
        <v>41</v>
      </c>
      <c r="H32" s="22" t="s">
        <v>121</v>
      </c>
      <c r="I32" s="22" t="s">
        <v>153</v>
      </c>
      <c r="J32" s="22" t="s">
        <v>77</v>
      </c>
      <c r="K32" s="22" t="s">
        <v>78</v>
      </c>
      <c r="L32" s="22" t="s">
        <v>138</v>
      </c>
      <c r="M32" s="3">
        <f t="shared" ca="1" si="0"/>
        <v>46300</v>
      </c>
      <c r="N32" s="26" t="s">
        <v>330</v>
      </c>
      <c r="O32" t="s">
        <v>331</v>
      </c>
      <c r="P32">
        <v>77</v>
      </c>
      <c r="Q32">
        <v>50</v>
      </c>
      <c r="R32">
        <v>1</v>
      </c>
      <c r="U32" t="s">
        <v>288</v>
      </c>
      <c r="V32" t="s">
        <v>321</v>
      </c>
      <c r="W32" s="25" t="str" cm="1">
        <f t="array" ref="W32">_xlfn.SWITCH(
    TRUE,
    AND(FinalTestGrid[[#This Row],[Num Raw Test Data]]="",FinalTestGrid[[#This Row],[Text Raw Test Data]]=""),"Please enter record",
    AND(FinalTestGrid[[#This Row],[Num Raw Test Data]]&lt;&gt;"",FinalTestGrid[[#This Row],[Text Raw Test Data]]&lt;&gt;""),"Select right column",
    "Record inputted"
)</f>
        <v>Record inputted</v>
      </c>
      <c r="X32" s="25" t="str">
        <f>IF(OR(COUNTIFS(dTestRatings[Test ID],FinalTestGrid[[#This Row],[ASTM-Version]],dTestRatings[Non Interval Value],FinalTestGrid[[#This Row],[Text Raw Test Data]])&gt;0,FinalTestGrid[[#This Row],[Data Type]]="Numeric"),"PASS","FAIL")</f>
        <v>PASS</v>
      </c>
      <c r="Y32" s="25" t="str" cm="1">
        <f t="array" ref="Y32">IF(SUMPRODUCT(
    (dTestRatings[Test ID]=FinalTestGrid[[#This Row],[ASTM-Version]])*
    (FinalTestGrid[[#This Row],[Num Raw Test Data]]&gt;=dTestRatings[Minimum Interval Value])*
    (FinalTestGrid[[#This Row],[Num Raw Test Data]]&lt;=dTestRatings[Maximum Interval Value])
)&gt;0,"PASS","FAIL")</f>
        <v>PASS</v>
      </c>
    </row>
    <row r="33" spans="1:25" x14ac:dyDescent="0.25">
      <c r="A33" s="22" t="s">
        <v>299</v>
      </c>
      <c r="B33" s="22" t="s">
        <v>320</v>
      </c>
      <c r="C33" s="22" t="s">
        <v>9</v>
      </c>
      <c r="D33" s="22" t="s">
        <v>34</v>
      </c>
      <c r="E33" s="22">
        <v>1</v>
      </c>
      <c r="F33" s="22" t="s">
        <v>39</v>
      </c>
      <c r="G33" s="22" t="s">
        <v>41</v>
      </c>
      <c r="H33" s="22" t="s">
        <v>121</v>
      </c>
      <c r="I33" s="22" t="s">
        <v>155</v>
      </c>
      <c r="J33" s="22" t="s">
        <v>79</v>
      </c>
      <c r="K33" s="22" t="s">
        <v>78</v>
      </c>
      <c r="L33" s="22" t="s">
        <v>138</v>
      </c>
      <c r="M33" s="3">
        <f t="shared" ca="1" si="0"/>
        <v>46300</v>
      </c>
      <c r="N33" s="26" t="s">
        <v>330</v>
      </c>
      <c r="O33" t="s">
        <v>331</v>
      </c>
      <c r="P33">
        <v>77</v>
      </c>
      <c r="Q33">
        <v>50</v>
      </c>
      <c r="R33">
        <v>1</v>
      </c>
      <c r="U33" t="s">
        <v>287</v>
      </c>
      <c r="V33" t="s">
        <v>322</v>
      </c>
      <c r="W33" s="25" t="str" cm="1">
        <f t="array" ref="W33">_xlfn.SWITCH(
    TRUE,
    AND(FinalTestGrid[[#This Row],[Num Raw Test Data]]="",FinalTestGrid[[#This Row],[Text Raw Test Data]]=""),"Please enter record",
    AND(FinalTestGrid[[#This Row],[Num Raw Test Data]]&lt;&gt;"",FinalTestGrid[[#This Row],[Text Raw Test Data]]&lt;&gt;""),"Select right column",
    "Record inputted"
)</f>
        <v>Record inputted</v>
      </c>
      <c r="X33" s="25" t="str">
        <f>IF(OR(COUNTIFS(dTestRatings[Test ID],FinalTestGrid[[#This Row],[ASTM-Version]],dTestRatings[Non Interval Value],FinalTestGrid[[#This Row],[Text Raw Test Data]])&gt;0,FinalTestGrid[[#This Row],[Data Type]]="Numeric"),"PASS","FAIL")</f>
        <v>PASS</v>
      </c>
      <c r="Y33" s="25" t="str" cm="1">
        <f t="array" ref="Y33">IF(SUMPRODUCT(
    (dTestRatings[Test ID]=FinalTestGrid[[#This Row],[ASTM-Version]])*
    (FinalTestGrid[[#This Row],[Num Raw Test Data]]&gt;=dTestRatings[Minimum Interval Value])*
    (FinalTestGrid[[#This Row],[Num Raw Test Data]]&lt;=dTestRatings[Maximum Interval Value])
)&gt;0,"PASS","FAIL")</f>
        <v>PASS</v>
      </c>
    </row>
    <row r="34" spans="1:25" x14ac:dyDescent="0.25">
      <c r="A34" s="22" t="s">
        <v>299</v>
      </c>
      <c r="B34" s="22" t="s">
        <v>320</v>
      </c>
      <c r="C34" s="22" t="s">
        <v>9</v>
      </c>
      <c r="D34" s="22" t="s">
        <v>34</v>
      </c>
      <c r="E34" s="22">
        <v>1</v>
      </c>
      <c r="F34" s="22" t="s">
        <v>39</v>
      </c>
      <c r="G34" s="22" t="s">
        <v>41</v>
      </c>
      <c r="H34" s="22" t="s">
        <v>121</v>
      </c>
      <c r="I34" s="22" t="s">
        <v>157</v>
      </c>
      <c r="J34" s="22" t="s">
        <v>158</v>
      </c>
      <c r="K34" s="22" t="s">
        <v>78</v>
      </c>
      <c r="L34" s="22" t="s">
        <v>138</v>
      </c>
      <c r="M34" s="3">
        <f t="shared" ca="1" si="0"/>
        <v>46300</v>
      </c>
      <c r="N34" s="26" t="s">
        <v>330</v>
      </c>
      <c r="O34" t="s">
        <v>331</v>
      </c>
      <c r="P34">
        <v>77</v>
      </c>
      <c r="Q34">
        <v>50</v>
      </c>
      <c r="R34">
        <v>1</v>
      </c>
      <c r="U34" t="s">
        <v>288</v>
      </c>
      <c r="V34" t="s">
        <v>323</v>
      </c>
      <c r="W34" s="25" t="str" cm="1">
        <f t="array" ref="W34">_xlfn.SWITCH(
    TRUE,
    AND(FinalTestGrid[[#This Row],[Num Raw Test Data]]="",FinalTestGrid[[#This Row],[Text Raw Test Data]]=""),"Please enter record",
    AND(FinalTestGrid[[#This Row],[Num Raw Test Data]]&lt;&gt;"",FinalTestGrid[[#This Row],[Text Raw Test Data]]&lt;&gt;""),"Select right column",
    "Record inputted"
)</f>
        <v>Record inputted</v>
      </c>
      <c r="X34" s="25" t="str">
        <f>IF(OR(COUNTIFS(dTestRatings[Test ID],FinalTestGrid[[#This Row],[ASTM-Version]],dTestRatings[Non Interval Value],FinalTestGrid[[#This Row],[Text Raw Test Data]])&gt;0,FinalTestGrid[[#This Row],[Data Type]]="Numeric"),"PASS","FAIL")</f>
        <v>PASS</v>
      </c>
      <c r="Y34" s="25" t="str" cm="1">
        <f t="array" ref="Y34">IF(SUMPRODUCT(
    (dTestRatings[Test ID]=FinalTestGrid[[#This Row],[ASTM-Version]])*
    (FinalTestGrid[[#This Row],[Num Raw Test Data]]&gt;=dTestRatings[Minimum Interval Value])*
    (FinalTestGrid[[#This Row],[Num Raw Test Data]]&lt;=dTestRatings[Maximum Interval Value])
)&gt;0,"PASS","FAIL")</f>
        <v>PASS</v>
      </c>
    </row>
    <row r="35" spans="1:25" x14ac:dyDescent="0.25">
      <c r="A35" s="22" t="s">
        <v>299</v>
      </c>
      <c r="B35" s="22" t="s">
        <v>320</v>
      </c>
      <c r="C35" s="22" t="s">
        <v>9</v>
      </c>
      <c r="D35" s="22" t="s">
        <v>34</v>
      </c>
      <c r="E35" s="22">
        <v>1</v>
      </c>
      <c r="F35" s="22" t="s">
        <v>39</v>
      </c>
      <c r="G35" s="22" t="s">
        <v>41</v>
      </c>
      <c r="H35" s="22" t="s">
        <v>121</v>
      </c>
      <c r="I35" s="22" t="s">
        <v>159</v>
      </c>
      <c r="J35" s="22" t="s">
        <v>160</v>
      </c>
      <c r="K35" s="22" t="s">
        <v>78</v>
      </c>
      <c r="L35" s="22" t="s">
        <v>138</v>
      </c>
      <c r="M35" s="3">
        <f t="shared" ca="1" si="0"/>
        <v>46300</v>
      </c>
      <c r="N35" s="26" t="s">
        <v>330</v>
      </c>
      <c r="O35" t="s">
        <v>331</v>
      </c>
      <c r="P35">
        <v>77</v>
      </c>
      <c r="Q35">
        <v>50</v>
      </c>
      <c r="R35">
        <v>1</v>
      </c>
      <c r="U35" t="s">
        <v>288</v>
      </c>
      <c r="V35" t="s">
        <v>324</v>
      </c>
      <c r="W35" s="25" t="str" cm="1">
        <f t="array" ref="W35">_xlfn.SWITCH(
    TRUE,
    AND(FinalTestGrid[[#This Row],[Num Raw Test Data]]="",FinalTestGrid[[#This Row],[Text Raw Test Data]]=""),"Please enter record",
    AND(FinalTestGrid[[#This Row],[Num Raw Test Data]]&lt;&gt;"",FinalTestGrid[[#This Row],[Text Raw Test Data]]&lt;&gt;""),"Select right column",
    "Record inputted"
)</f>
        <v>Record inputted</v>
      </c>
      <c r="X35" s="25" t="str">
        <f>IF(OR(COUNTIFS(dTestRatings[Test ID],FinalTestGrid[[#This Row],[ASTM-Version]],dTestRatings[Non Interval Value],FinalTestGrid[[#This Row],[Text Raw Test Data]])&gt;0,FinalTestGrid[[#This Row],[Data Type]]="Numeric"),"PASS","FAIL")</f>
        <v>PASS</v>
      </c>
      <c r="Y35" s="25" t="str" cm="1">
        <f t="array" ref="Y35">IF(SUMPRODUCT(
    (dTestRatings[Test ID]=FinalTestGrid[[#This Row],[ASTM-Version]])*
    (FinalTestGrid[[#This Row],[Num Raw Test Data]]&gt;=dTestRatings[Minimum Interval Value])*
    (FinalTestGrid[[#This Row],[Num Raw Test Data]]&lt;=dTestRatings[Maximum Interval Value])
)&gt;0,"PASS","FAIL")</f>
        <v>PASS</v>
      </c>
    </row>
    <row r="36" spans="1:25" x14ac:dyDescent="0.25">
      <c r="A36" s="22" t="s">
        <v>299</v>
      </c>
      <c r="B36" s="22" t="s">
        <v>320</v>
      </c>
      <c r="C36" s="22" t="s">
        <v>9</v>
      </c>
      <c r="D36" s="22" t="s">
        <v>34</v>
      </c>
      <c r="E36" s="22">
        <v>1</v>
      </c>
      <c r="F36" s="22" t="s">
        <v>39</v>
      </c>
      <c r="G36" s="22" t="s">
        <v>41</v>
      </c>
      <c r="H36" s="22" t="s">
        <v>121</v>
      </c>
      <c r="I36" s="22" t="s">
        <v>183</v>
      </c>
      <c r="J36" s="22" t="s">
        <v>185</v>
      </c>
      <c r="K36" s="22" t="s">
        <v>75</v>
      </c>
      <c r="L36" s="22" t="s">
        <v>186</v>
      </c>
      <c r="M36" s="3">
        <f t="shared" ca="1" si="0"/>
        <v>46300</v>
      </c>
      <c r="N36" s="26" t="s">
        <v>330</v>
      </c>
      <c r="O36" t="s">
        <v>331</v>
      </c>
      <c r="P36">
        <v>77</v>
      </c>
      <c r="Q36">
        <v>50</v>
      </c>
      <c r="R36">
        <v>1</v>
      </c>
      <c r="T36">
        <v>1</v>
      </c>
      <c r="V36" t="s">
        <v>325</v>
      </c>
      <c r="W36" s="25" t="str" cm="1">
        <f t="array" ref="W36">_xlfn.SWITCH(
    TRUE,
    AND(FinalTestGrid[[#This Row],[Num Raw Test Data]]="",FinalTestGrid[[#This Row],[Text Raw Test Data]]=""),"Please enter record",
    AND(FinalTestGrid[[#This Row],[Num Raw Test Data]]&lt;&gt;"",FinalTestGrid[[#This Row],[Text Raw Test Data]]&lt;&gt;""),"Select right column",
    "Record inputted"
)</f>
        <v>Record inputted</v>
      </c>
      <c r="X36" s="25" t="str">
        <f>IF(OR(COUNTIFS(dTestRatings[Test ID],FinalTestGrid[[#This Row],[ASTM-Version]],dTestRatings[Non Interval Value],FinalTestGrid[[#This Row],[Text Raw Test Data]])&gt;0,FinalTestGrid[[#This Row],[Data Type]]="Numeric"),"PASS","FAIL")</f>
        <v>PASS</v>
      </c>
      <c r="Y36" s="25" t="str" cm="1">
        <f t="array" ref="Y36">IF(SUMPRODUCT(
    (dTestRatings[Test ID]=FinalTestGrid[[#This Row],[ASTM-Version]])*
    (FinalTestGrid[[#This Row],[Num Raw Test Data]]&gt;=dTestRatings[Minimum Interval Value])*
    (FinalTestGrid[[#This Row],[Num Raw Test Data]]&lt;=dTestRatings[Maximum Interval Value])
)&gt;0,"PASS","FAIL")</f>
        <v>PASS</v>
      </c>
    </row>
    <row r="37" spans="1:25" x14ac:dyDescent="0.25">
      <c r="A37" s="22" t="s">
        <v>299</v>
      </c>
      <c r="B37" s="22" t="s">
        <v>320</v>
      </c>
      <c r="C37" s="22" t="s">
        <v>9</v>
      </c>
      <c r="D37" s="22" t="s">
        <v>34</v>
      </c>
      <c r="E37" s="22">
        <v>1</v>
      </c>
      <c r="F37" s="22" t="s">
        <v>39</v>
      </c>
      <c r="G37" s="22" t="s">
        <v>41</v>
      </c>
      <c r="H37" s="22" t="s">
        <v>121</v>
      </c>
      <c r="I37" s="22" t="s">
        <v>187</v>
      </c>
      <c r="J37" s="22" t="s">
        <v>189</v>
      </c>
      <c r="K37" s="22" t="s">
        <v>75</v>
      </c>
      <c r="L37" s="22" t="s">
        <v>186</v>
      </c>
      <c r="M37" s="3">
        <f t="shared" ca="1" si="0"/>
        <v>46300</v>
      </c>
      <c r="N37" s="26" t="s">
        <v>330</v>
      </c>
      <c r="O37" t="s">
        <v>331</v>
      </c>
      <c r="P37">
        <v>77</v>
      </c>
      <c r="Q37">
        <v>50</v>
      </c>
      <c r="R37">
        <v>1</v>
      </c>
      <c r="T37">
        <v>3</v>
      </c>
      <c r="V37" t="s">
        <v>326</v>
      </c>
      <c r="W37" s="25" t="str" cm="1">
        <f t="array" ref="W37">_xlfn.SWITCH(
    TRUE,
    AND(FinalTestGrid[[#This Row],[Num Raw Test Data]]="",FinalTestGrid[[#This Row],[Text Raw Test Data]]=""),"Please enter record",
    AND(FinalTestGrid[[#This Row],[Num Raw Test Data]]&lt;&gt;"",FinalTestGrid[[#This Row],[Text Raw Test Data]]&lt;&gt;""),"Select right column",
    "Record inputted"
)</f>
        <v>Record inputted</v>
      </c>
      <c r="X37" s="25" t="str">
        <f>IF(OR(COUNTIFS(dTestRatings[Test ID],FinalTestGrid[[#This Row],[ASTM-Version]],dTestRatings[Non Interval Value],FinalTestGrid[[#This Row],[Text Raw Test Data]])&gt;0,FinalTestGrid[[#This Row],[Data Type]]="Numeric"),"PASS","FAIL")</f>
        <v>PASS</v>
      </c>
      <c r="Y37" s="25" t="str" cm="1">
        <f t="array" ref="Y37">IF(SUMPRODUCT(
    (dTestRatings[Test ID]=FinalTestGrid[[#This Row],[ASTM-Version]])*
    (FinalTestGrid[[#This Row],[Num Raw Test Data]]&gt;=dTestRatings[Minimum Interval Value])*
    (FinalTestGrid[[#This Row],[Num Raw Test Data]]&lt;=dTestRatings[Maximum Interval Value])
)&gt;0,"PASS","FAIL")</f>
        <v>PASS</v>
      </c>
    </row>
    <row r="38" spans="1:25" x14ac:dyDescent="0.25">
      <c r="A38" s="22" t="s">
        <v>299</v>
      </c>
      <c r="B38" s="22" t="s">
        <v>320</v>
      </c>
      <c r="C38" s="22" t="s">
        <v>9</v>
      </c>
      <c r="D38" s="22" t="s">
        <v>34</v>
      </c>
      <c r="E38" s="22">
        <v>1</v>
      </c>
      <c r="F38" s="22" t="s">
        <v>39</v>
      </c>
      <c r="G38" s="22" t="s">
        <v>41</v>
      </c>
      <c r="H38" s="22" t="s">
        <v>121</v>
      </c>
      <c r="I38" s="22" t="s">
        <v>190</v>
      </c>
      <c r="J38" s="22" t="s">
        <v>192</v>
      </c>
      <c r="K38" s="22" t="s">
        <v>75</v>
      </c>
      <c r="L38" s="22" t="s">
        <v>186</v>
      </c>
      <c r="M38" s="3">
        <f t="shared" ca="1" si="0"/>
        <v>46300</v>
      </c>
      <c r="N38" s="26" t="s">
        <v>330</v>
      </c>
      <c r="O38" t="s">
        <v>331</v>
      </c>
      <c r="P38">
        <v>77</v>
      </c>
      <c r="Q38">
        <v>50</v>
      </c>
      <c r="R38">
        <v>1</v>
      </c>
      <c r="T38">
        <v>2</v>
      </c>
      <c r="V38" t="s">
        <v>327</v>
      </c>
      <c r="W38" s="25" t="str" cm="1">
        <f t="array" ref="W38">_xlfn.SWITCH(
    TRUE,
    AND(FinalTestGrid[[#This Row],[Num Raw Test Data]]="",FinalTestGrid[[#This Row],[Text Raw Test Data]]=""),"Please enter record",
    AND(FinalTestGrid[[#This Row],[Num Raw Test Data]]&lt;&gt;"",FinalTestGrid[[#This Row],[Text Raw Test Data]]&lt;&gt;""),"Select right column",
    "Record inputted"
)</f>
        <v>Record inputted</v>
      </c>
      <c r="X38" s="25" t="str">
        <f>IF(OR(COUNTIFS(dTestRatings[Test ID],FinalTestGrid[[#This Row],[ASTM-Version]],dTestRatings[Non Interval Value],FinalTestGrid[[#This Row],[Text Raw Test Data]])&gt;0,FinalTestGrid[[#This Row],[Data Type]]="Numeric"),"PASS","FAIL")</f>
        <v>PASS</v>
      </c>
      <c r="Y38" s="25" t="str" cm="1">
        <f t="array" ref="Y38">IF(SUMPRODUCT(
    (dTestRatings[Test ID]=FinalTestGrid[[#This Row],[ASTM-Version]])*
    (FinalTestGrid[[#This Row],[Num Raw Test Data]]&gt;=dTestRatings[Minimum Interval Value])*
    (FinalTestGrid[[#This Row],[Num Raw Test Data]]&lt;=dTestRatings[Maximum Interval Value])
)&gt;0,"PASS","FAIL")</f>
        <v>PASS</v>
      </c>
    </row>
    <row r="39" spans="1:25" x14ac:dyDescent="0.25">
      <c r="A39" s="22" t="s">
        <v>299</v>
      </c>
      <c r="B39" s="22" t="s">
        <v>320</v>
      </c>
      <c r="C39" s="22" t="s">
        <v>9</v>
      </c>
      <c r="D39" s="22" t="s">
        <v>34</v>
      </c>
      <c r="E39" s="22">
        <v>1</v>
      </c>
      <c r="F39" s="22" t="s">
        <v>39</v>
      </c>
      <c r="G39" s="22" t="s">
        <v>41</v>
      </c>
      <c r="H39" s="22" t="s">
        <v>121</v>
      </c>
      <c r="I39" s="22" t="s">
        <v>193</v>
      </c>
      <c r="J39" s="22" t="s">
        <v>195</v>
      </c>
      <c r="K39" s="22" t="s">
        <v>75</v>
      </c>
      <c r="L39" s="22" t="s">
        <v>186</v>
      </c>
      <c r="M39" s="3">
        <f t="shared" ca="1" si="0"/>
        <v>46300</v>
      </c>
      <c r="N39" s="26" t="s">
        <v>330</v>
      </c>
      <c r="O39" t="s">
        <v>331</v>
      </c>
      <c r="P39">
        <v>77</v>
      </c>
      <c r="Q39">
        <v>50</v>
      </c>
      <c r="R39">
        <v>1</v>
      </c>
      <c r="T39">
        <v>5</v>
      </c>
      <c r="V39" t="s">
        <v>328</v>
      </c>
      <c r="W39" s="25" t="str" cm="1">
        <f t="array" ref="W39">_xlfn.SWITCH(
    TRUE,
    AND(FinalTestGrid[[#This Row],[Num Raw Test Data]]="",FinalTestGrid[[#This Row],[Text Raw Test Data]]=""),"Please enter record",
    AND(FinalTestGrid[[#This Row],[Num Raw Test Data]]&lt;&gt;"",FinalTestGrid[[#This Row],[Text Raw Test Data]]&lt;&gt;""),"Select right column",
    "Record inputted"
)</f>
        <v>Record inputted</v>
      </c>
      <c r="X39" s="25" t="str">
        <f>IF(OR(COUNTIFS(dTestRatings[Test ID],FinalTestGrid[[#This Row],[ASTM-Version]],dTestRatings[Non Interval Value],FinalTestGrid[[#This Row],[Text Raw Test Data]])&gt;0,FinalTestGrid[[#This Row],[Data Type]]="Numeric"),"PASS","FAIL")</f>
        <v>PASS</v>
      </c>
      <c r="Y39" s="25" t="str" cm="1">
        <f t="array" ref="Y39">IF(SUMPRODUCT(
    (dTestRatings[Test ID]=FinalTestGrid[[#This Row],[ASTM-Version]])*
    (FinalTestGrid[[#This Row],[Num Raw Test Data]]&gt;=dTestRatings[Minimum Interval Value])*
    (FinalTestGrid[[#This Row],[Num Raw Test Data]]&lt;=dTestRatings[Maximum Interval Value])
)&gt;0,"PASS","FAIL")</f>
        <v>PASS</v>
      </c>
    </row>
    <row r="40" spans="1:25" x14ac:dyDescent="0.25">
      <c r="A40" s="22" t="s">
        <v>299</v>
      </c>
      <c r="B40" s="22" t="s">
        <v>320</v>
      </c>
      <c r="C40" s="22" t="s">
        <v>9</v>
      </c>
      <c r="D40" s="22" t="s">
        <v>34</v>
      </c>
      <c r="E40" s="22">
        <v>1</v>
      </c>
      <c r="F40" s="22" t="s">
        <v>39</v>
      </c>
      <c r="G40" s="22" t="s">
        <v>41</v>
      </c>
      <c r="H40" s="22" t="s">
        <v>121</v>
      </c>
      <c r="I40" s="22" t="s">
        <v>177</v>
      </c>
      <c r="J40" s="22" t="s">
        <v>178</v>
      </c>
      <c r="K40" s="22" t="s">
        <v>75</v>
      </c>
      <c r="L40" s="22" t="s">
        <v>179</v>
      </c>
      <c r="M40" s="3">
        <f t="shared" ca="1" si="0"/>
        <v>46300</v>
      </c>
      <c r="N40" s="26" t="s">
        <v>330</v>
      </c>
      <c r="O40" t="s">
        <v>331</v>
      </c>
      <c r="P40">
        <v>77</v>
      </c>
      <c r="Q40">
        <v>50</v>
      </c>
      <c r="R40">
        <v>1</v>
      </c>
      <c r="T40">
        <v>2</v>
      </c>
      <c r="V40" t="s">
        <v>329</v>
      </c>
      <c r="W40" s="25" t="str" cm="1">
        <f t="array" ref="W40">_xlfn.SWITCH(
    TRUE,
    AND(FinalTestGrid[[#This Row],[Num Raw Test Data]]="",FinalTestGrid[[#This Row],[Text Raw Test Data]]=""),"Please enter record",
    AND(FinalTestGrid[[#This Row],[Num Raw Test Data]]&lt;&gt;"",FinalTestGrid[[#This Row],[Text Raw Test Data]]&lt;&gt;""),"Select right column",
    "Record inputted"
)</f>
        <v>Record inputted</v>
      </c>
      <c r="X40" s="25" t="str">
        <f>IF(OR(COUNTIFS(dTestRatings[Test ID],FinalTestGrid[[#This Row],[ASTM-Version]],dTestRatings[Non Interval Value],FinalTestGrid[[#This Row],[Text Raw Test Data]])&gt;0,FinalTestGrid[[#This Row],[Data Type]]="Numeric"),"PASS","FAIL")</f>
        <v>PASS</v>
      </c>
      <c r="Y40" s="25" t="str" cm="1">
        <f t="array" ref="Y40">IF(SUMPRODUCT(
    (dTestRatings[Test ID]=FinalTestGrid[[#This Row],[ASTM-Version]])*
    (FinalTestGrid[[#This Row],[Num Raw Test Data]]&gt;=dTestRatings[Minimum Interval Value])*
    (FinalTestGrid[[#This Row],[Num Raw Test Data]]&lt;=dTestRatings[Maximum Interval Value])
)&gt;0,"PASS","FAIL")</f>
        <v>PASS</v>
      </c>
    </row>
    <row r="43" spans="1:25" x14ac:dyDescent="0.25">
      <c r="J43" s="3"/>
    </row>
  </sheetData>
  <phoneticPr fontId="2" type="noConversion"/>
  <conditionalFormatting sqref="Y15:XFD20 X21:XFD35 X13:XFD13 A1:XFD12 Z14:XFD14 A41:Y1048576 W36:XFD39 Z40:XFD1048576 W40:Y40 A13:L40">
    <cfRule type="cellIs" dxfId="77" priority="11" operator="equal">
      <formula>"Enter Data Here"</formula>
    </cfRule>
    <cfRule type="cellIs" dxfId="76" priority="12" operator="equal">
      <formula>"No Data Here"</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7" r:id="rId4" name="Button 3">
              <controlPr defaultSize="0" print="0" autoFill="0" autoPict="0" macro="[0]!RefreshWorkbook">
                <anchor moveWithCells="1" sizeWithCells="1">
                  <from>
                    <xdr:col>0</xdr:col>
                    <xdr:colOff>0</xdr:colOff>
                    <xdr:row>3</xdr:row>
                    <xdr:rowOff>171450</xdr:rowOff>
                  </from>
                  <to>
                    <xdr:col>9</xdr:col>
                    <xdr:colOff>723900</xdr:colOff>
                    <xdr:row>9</xdr:row>
                    <xdr:rowOff>9525</xdr:rowOff>
                  </to>
                </anchor>
              </controlPr>
            </control>
          </mc:Choice>
        </mc:AlternateContent>
      </controls>
    </mc:Choice>
  </mc:AlternateContent>
  <tableParts count="1">
    <tablePart r:id="rId5"/>
  </tableParts>
  <extLst>
    <ext xmlns:x15="http://schemas.microsoft.com/office/spreadsheetml/2010/11/main" uri="{3A4CF648-6AED-40f4-86FF-DC5316D8AED3}">
      <x14:slicerList xmlns:x14="http://schemas.microsoft.com/office/spreadsheetml/2009/9/main">
        <x14:slicer r:id="rId6"/>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8A5E5D-0D4F-4F43-B0F9-B23FE5B8C0BA}">
  <sheetPr codeName="Sheet4"/>
  <dimension ref="A1:O46"/>
  <sheetViews>
    <sheetView workbookViewId="0">
      <selection activeCell="D31" sqref="D30:D31"/>
    </sheetView>
  </sheetViews>
  <sheetFormatPr defaultRowHeight="15" x14ac:dyDescent="0.25"/>
  <cols>
    <col min="1" max="1" width="9.5703125" bestFit="1" customWidth="1"/>
    <col min="2" max="2" width="22.28515625" bestFit="1" customWidth="1"/>
    <col min="3" max="3" width="32" bestFit="1" customWidth="1"/>
    <col min="4" max="4" width="24.85546875" bestFit="1" customWidth="1"/>
    <col min="5" max="5" width="25.140625" bestFit="1" customWidth="1"/>
    <col min="6" max="6" width="20" bestFit="1" customWidth="1"/>
    <col min="7" max="7" width="20.5703125" bestFit="1" customWidth="1"/>
    <col min="8" max="8" width="32.140625" bestFit="1" customWidth="1"/>
    <col min="9" max="9" width="19.7109375" bestFit="1" customWidth="1"/>
    <col min="10" max="10" width="14.85546875" bestFit="1" customWidth="1"/>
    <col min="11" max="14" width="12.42578125" bestFit="1" customWidth="1"/>
  </cols>
  <sheetData>
    <row r="1" spans="1:15" x14ac:dyDescent="0.25">
      <c r="A1" t="s">
        <v>14</v>
      </c>
      <c r="B1" t="s">
        <v>58</v>
      </c>
      <c r="C1" t="s">
        <v>13</v>
      </c>
      <c r="D1" t="s">
        <v>272</v>
      </c>
      <c r="E1" t="s">
        <v>273</v>
      </c>
      <c r="F1" t="s">
        <v>274</v>
      </c>
      <c r="G1" t="s">
        <v>275</v>
      </c>
      <c r="H1" t="s">
        <v>276</v>
      </c>
      <c r="I1" t="s">
        <v>277</v>
      </c>
      <c r="J1" t="s">
        <v>5</v>
      </c>
      <c r="K1" t="s">
        <v>278</v>
      </c>
      <c r="L1" t="s">
        <v>279</v>
      </c>
      <c r="M1" t="s">
        <v>280</v>
      </c>
      <c r="N1" t="s">
        <v>281</v>
      </c>
      <c r="O1" t="s">
        <v>293</v>
      </c>
    </row>
    <row r="2" spans="1:15" hidden="1" x14ac:dyDescent="0.25">
      <c r="A2" t="s">
        <v>133</v>
      </c>
      <c r="B2" t="s">
        <v>11</v>
      </c>
      <c r="C2" t="s">
        <v>16</v>
      </c>
      <c r="D2">
        <v>0</v>
      </c>
      <c r="E2">
        <v>15</v>
      </c>
      <c r="G2">
        <v>5</v>
      </c>
      <c r="I2">
        <v>10</v>
      </c>
      <c r="J2" t="s">
        <v>282</v>
      </c>
      <c r="O2" t="str">
        <f>IF(dTestRatings[[#This Row],[Minimum Interval Value]]="","NonInterval","Interval")</f>
        <v>Interval</v>
      </c>
    </row>
    <row r="3" spans="1:15" hidden="1" x14ac:dyDescent="0.25">
      <c r="A3" t="s">
        <v>133</v>
      </c>
      <c r="B3" t="s">
        <v>11</v>
      </c>
      <c r="C3" t="s">
        <v>16</v>
      </c>
      <c r="D3">
        <v>16</v>
      </c>
      <c r="E3">
        <v>30</v>
      </c>
      <c r="G3">
        <v>4</v>
      </c>
      <c r="I3">
        <v>8</v>
      </c>
      <c r="J3" t="s">
        <v>283</v>
      </c>
      <c r="O3" t="str">
        <f>IF(dTestRatings[[#This Row],[Minimum Interval Value]]="","NonInterval","Interval")</f>
        <v>Interval</v>
      </c>
    </row>
    <row r="4" spans="1:15" hidden="1" x14ac:dyDescent="0.25">
      <c r="A4" t="s">
        <v>133</v>
      </c>
      <c r="B4" t="s">
        <v>11</v>
      </c>
      <c r="C4" t="s">
        <v>16</v>
      </c>
      <c r="D4">
        <v>31</v>
      </c>
      <c r="E4">
        <v>45</v>
      </c>
      <c r="G4">
        <v>3</v>
      </c>
      <c r="I4">
        <v>6</v>
      </c>
      <c r="J4" t="s">
        <v>284</v>
      </c>
      <c r="O4" t="str">
        <f>IF(dTestRatings[[#This Row],[Minimum Interval Value]]="","NonInterval","Interval")</f>
        <v>Interval</v>
      </c>
    </row>
    <row r="5" spans="1:15" hidden="1" x14ac:dyDescent="0.25">
      <c r="A5" t="s">
        <v>133</v>
      </c>
      <c r="B5" t="s">
        <v>11</v>
      </c>
      <c r="C5" t="s">
        <v>16</v>
      </c>
      <c r="D5">
        <v>46</v>
      </c>
      <c r="E5">
        <v>60</v>
      </c>
      <c r="G5">
        <v>2</v>
      </c>
      <c r="I5">
        <v>4</v>
      </c>
      <c r="J5" t="s">
        <v>284</v>
      </c>
      <c r="O5" t="str">
        <f>IF(dTestRatings[[#This Row],[Minimum Interval Value]]="","NonInterval","Interval")</f>
        <v>Interval</v>
      </c>
    </row>
    <row r="6" spans="1:15" hidden="1" x14ac:dyDescent="0.25">
      <c r="A6" t="s">
        <v>133</v>
      </c>
      <c r="B6" t="s">
        <v>11</v>
      </c>
      <c r="C6" t="s">
        <v>16</v>
      </c>
      <c r="D6">
        <v>61</v>
      </c>
      <c r="E6">
        <v>120</v>
      </c>
      <c r="G6">
        <v>1</v>
      </c>
      <c r="I6">
        <v>2</v>
      </c>
      <c r="J6" t="s">
        <v>284</v>
      </c>
      <c r="O6" t="str">
        <f>IF(dTestRatings[[#This Row],[Minimum Interval Value]]="","NonInterval","Interval")</f>
        <v>Interval</v>
      </c>
    </row>
    <row r="7" spans="1:15" hidden="1" x14ac:dyDescent="0.25">
      <c r="A7" t="s">
        <v>134</v>
      </c>
      <c r="B7" t="s">
        <v>11</v>
      </c>
      <c r="C7" t="s">
        <v>59</v>
      </c>
      <c r="D7">
        <v>0</v>
      </c>
      <c r="E7">
        <v>2</v>
      </c>
      <c r="G7">
        <v>5</v>
      </c>
      <c r="I7">
        <v>10</v>
      </c>
      <c r="J7" t="s">
        <v>282</v>
      </c>
      <c r="O7" t="str">
        <f>IF(dTestRatings[[#This Row],[Minimum Interval Value]]="","NonInterval","Interval")</f>
        <v>Interval</v>
      </c>
    </row>
    <row r="8" spans="1:15" hidden="1" x14ac:dyDescent="0.25">
      <c r="A8" t="s">
        <v>134</v>
      </c>
      <c r="B8" t="s">
        <v>11</v>
      </c>
      <c r="C8" t="s">
        <v>59</v>
      </c>
      <c r="D8">
        <v>3</v>
      </c>
      <c r="E8">
        <v>5</v>
      </c>
      <c r="G8">
        <v>4</v>
      </c>
      <c r="I8">
        <v>8</v>
      </c>
      <c r="J8" t="s">
        <v>283</v>
      </c>
      <c r="O8" t="str">
        <f>IF(dTestRatings[[#This Row],[Minimum Interval Value]]="","NonInterval","Interval")</f>
        <v>Interval</v>
      </c>
    </row>
    <row r="9" spans="1:15" hidden="1" x14ac:dyDescent="0.25">
      <c r="A9" t="s">
        <v>134</v>
      </c>
      <c r="B9" t="s">
        <v>11</v>
      </c>
      <c r="C9" t="s">
        <v>59</v>
      </c>
      <c r="D9">
        <v>6</v>
      </c>
      <c r="E9">
        <v>8</v>
      </c>
      <c r="G9">
        <v>3</v>
      </c>
      <c r="I9">
        <v>6</v>
      </c>
      <c r="J9" t="s">
        <v>284</v>
      </c>
      <c r="O9" t="str">
        <f>IF(dTestRatings[[#This Row],[Minimum Interval Value]]="","NonInterval","Interval")</f>
        <v>Interval</v>
      </c>
    </row>
    <row r="10" spans="1:15" hidden="1" x14ac:dyDescent="0.25">
      <c r="A10" t="s">
        <v>134</v>
      </c>
      <c r="B10" t="s">
        <v>11</v>
      </c>
      <c r="C10" t="s">
        <v>59</v>
      </c>
      <c r="D10">
        <v>9</v>
      </c>
      <c r="E10">
        <v>10</v>
      </c>
      <c r="G10">
        <v>0</v>
      </c>
      <c r="I10">
        <v>0</v>
      </c>
      <c r="J10" t="s">
        <v>284</v>
      </c>
      <c r="O10" t="str">
        <f>IF(dTestRatings[[#This Row],[Minimum Interval Value]]="","NonInterval","Interval")</f>
        <v>Interval</v>
      </c>
    </row>
    <row r="11" spans="1:15" hidden="1" x14ac:dyDescent="0.25">
      <c r="A11" t="s">
        <v>137</v>
      </c>
      <c r="B11" t="s">
        <v>11</v>
      </c>
      <c r="C11" t="s">
        <v>285</v>
      </c>
      <c r="D11">
        <v>1</v>
      </c>
      <c r="E11">
        <v>1</v>
      </c>
      <c r="G11">
        <v>0</v>
      </c>
      <c r="I11">
        <v>0</v>
      </c>
      <c r="J11" t="s">
        <v>284</v>
      </c>
      <c r="O11" t="str">
        <f>IF(dTestRatings[[#This Row],[Minimum Interval Value]]="","NonInterval","Interval")</f>
        <v>Interval</v>
      </c>
    </row>
    <row r="12" spans="1:15" hidden="1" x14ac:dyDescent="0.25">
      <c r="A12" t="s">
        <v>137</v>
      </c>
      <c r="B12" t="s">
        <v>11</v>
      </c>
      <c r="C12" t="s">
        <v>285</v>
      </c>
      <c r="D12">
        <v>2</v>
      </c>
      <c r="E12">
        <v>2</v>
      </c>
      <c r="G12">
        <v>1</v>
      </c>
      <c r="I12">
        <v>2</v>
      </c>
      <c r="J12" t="s">
        <v>284</v>
      </c>
      <c r="O12" t="str">
        <f>IF(dTestRatings[[#This Row],[Minimum Interval Value]]="","NonInterval","Interval")</f>
        <v>Interval</v>
      </c>
    </row>
    <row r="13" spans="1:15" hidden="1" x14ac:dyDescent="0.25">
      <c r="A13" t="s">
        <v>137</v>
      </c>
      <c r="B13" t="s">
        <v>11</v>
      </c>
      <c r="C13" t="s">
        <v>285</v>
      </c>
      <c r="D13">
        <v>3</v>
      </c>
      <c r="E13">
        <v>3</v>
      </c>
      <c r="G13">
        <v>2</v>
      </c>
      <c r="I13">
        <v>4</v>
      </c>
      <c r="J13" t="s">
        <v>283</v>
      </c>
      <c r="O13" t="str">
        <f>IF(dTestRatings[[#This Row],[Minimum Interval Value]]="","NonInterval","Interval")</f>
        <v>Interval</v>
      </c>
    </row>
    <row r="14" spans="1:15" hidden="1" x14ac:dyDescent="0.25">
      <c r="A14" t="s">
        <v>137</v>
      </c>
      <c r="B14" t="s">
        <v>11</v>
      </c>
      <c r="C14" t="s">
        <v>285</v>
      </c>
      <c r="D14">
        <v>4</v>
      </c>
      <c r="E14">
        <v>4</v>
      </c>
      <c r="G14">
        <v>3</v>
      </c>
      <c r="I14">
        <v>6</v>
      </c>
      <c r="J14" t="s">
        <v>283</v>
      </c>
      <c r="O14" t="str">
        <f>IF(dTestRatings[[#This Row],[Minimum Interval Value]]="","NonInterval","Interval")</f>
        <v>Interval</v>
      </c>
    </row>
    <row r="15" spans="1:15" hidden="1" x14ac:dyDescent="0.25">
      <c r="A15" t="s">
        <v>137</v>
      </c>
      <c r="B15" t="s">
        <v>11</v>
      </c>
      <c r="C15" t="s">
        <v>285</v>
      </c>
      <c r="D15">
        <v>5</v>
      </c>
      <c r="E15">
        <v>5</v>
      </c>
      <c r="G15">
        <v>4</v>
      </c>
      <c r="I15">
        <v>8</v>
      </c>
      <c r="J15" t="s">
        <v>282</v>
      </c>
      <c r="O15" t="str">
        <f>IF(dTestRatings[[#This Row],[Minimum Interval Value]]="","NonInterval","Interval")</f>
        <v>Interval</v>
      </c>
    </row>
    <row r="16" spans="1:15" hidden="1" x14ac:dyDescent="0.25">
      <c r="A16" t="s">
        <v>137</v>
      </c>
      <c r="B16" t="s">
        <v>11</v>
      </c>
      <c r="C16" t="s">
        <v>285</v>
      </c>
      <c r="D16">
        <v>6</v>
      </c>
      <c r="E16">
        <v>6</v>
      </c>
      <c r="G16">
        <v>5</v>
      </c>
      <c r="I16">
        <v>10</v>
      </c>
      <c r="J16" t="s">
        <v>282</v>
      </c>
      <c r="O16" t="str">
        <f>IF(dTestRatings[[#This Row],[Minimum Interval Value]]="","NonInterval","Interval")</f>
        <v>Interval</v>
      </c>
    </row>
    <row r="17" spans="1:15" hidden="1" x14ac:dyDescent="0.25">
      <c r="A17" t="s">
        <v>138</v>
      </c>
      <c r="B17" t="s">
        <v>18</v>
      </c>
      <c r="C17" t="s">
        <v>286</v>
      </c>
      <c r="F17" t="s">
        <v>287</v>
      </c>
      <c r="G17">
        <v>5</v>
      </c>
      <c r="H17">
        <v>10</v>
      </c>
      <c r="I17">
        <v>10</v>
      </c>
      <c r="J17" t="s">
        <v>282</v>
      </c>
      <c r="O17" t="str">
        <f>IF(dTestRatings[[#This Row],[Minimum Interval Value]]="","NonInterval","Interval")</f>
        <v>NonInterval</v>
      </c>
    </row>
    <row r="18" spans="1:15" hidden="1" x14ac:dyDescent="0.25">
      <c r="A18" t="s">
        <v>138</v>
      </c>
      <c r="B18" t="s">
        <v>18</v>
      </c>
      <c r="C18" t="s">
        <v>286</v>
      </c>
      <c r="F18" t="s">
        <v>288</v>
      </c>
      <c r="G18">
        <v>4</v>
      </c>
      <c r="H18">
        <v>9</v>
      </c>
      <c r="I18">
        <v>8</v>
      </c>
      <c r="J18" t="s">
        <v>283</v>
      </c>
      <c r="O18" t="str">
        <f>IF(dTestRatings[[#This Row],[Minimum Interval Value]]="","NonInterval","Interval")</f>
        <v>NonInterval</v>
      </c>
    </row>
    <row r="19" spans="1:15" hidden="1" x14ac:dyDescent="0.25">
      <c r="A19" t="s">
        <v>138</v>
      </c>
      <c r="B19" t="s">
        <v>18</v>
      </c>
      <c r="C19" t="s">
        <v>286</v>
      </c>
      <c r="F19" t="s">
        <v>289</v>
      </c>
      <c r="G19">
        <v>3</v>
      </c>
      <c r="H19">
        <v>6</v>
      </c>
      <c r="I19">
        <v>6</v>
      </c>
      <c r="J19" t="s">
        <v>283</v>
      </c>
      <c r="O19" t="str">
        <f>IF(dTestRatings[[#This Row],[Minimum Interval Value]]="","NonInterval","Interval")</f>
        <v>NonInterval</v>
      </c>
    </row>
    <row r="20" spans="1:15" hidden="1" x14ac:dyDescent="0.25">
      <c r="A20" t="s">
        <v>138</v>
      </c>
      <c r="B20" t="s">
        <v>18</v>
      </c>
      <c r="C20" t="s">
        <v>286</v>
      </c>
      <c r="F20" t="s">
        <v>290</v>
      </c>
      <c r="G20">
        <v>2</v>
      </c>
      <c r="H20">
        <v>4</v>
      </c>
      <c r="I20">
        <v>4</v>
      </c>
      <c r="J20" t="s">
        <v>284</v>
      </c>
      <c r="O20" t="str">
        <f>IF(dTestRatings[[#This Row],[Minimum Interval Value]]="","NonInterval","Interval")</f>
        <v>NonInterval</v>
      </c>
    </row>
    <row r="21" spans="1:15" hidden="1" x14ac:dyDescent="0.25">
      <c r="A21" t="s">
        <v>138</v>
      </c>
      <c r="B21" t="s">
        <v>18</v>
      </c>
      <c r="C21" t="s">
        <v>286</v>
      </c>
      <c r="F21" t="s">
        <v>291</v>
      </c>
      <c r="G21">
        <v>1</v>
      </c>
      <c r="H21">
        <v>2</v>
      </c>
      <c r="I21">
        <v>2</v>
      </c>
      <c r="J21" t="s">
        <v>284</v>
      </c>
      <c r="O21" t="str">
        <f>IF(dTestRatings[[#This Row],[Minimum Interval Value]]="","NonInterval","Interval")</f>
        <v>NonInterval</v>
      </c>
    </row>
    <row r="22" spans="1:15" hidden="1" x14ac:dyDescent="0.25">
      <c r="A22" t="s">
        <v>179</v>
      </c>
      <c r="B22" t="s">
        <v>178</v>
      </c>
      <c r="C22" t="s">
        <v>178</v>
      </c>
      <c r="D22">
        <v>1</v>
      </c>
      <c r="E22">
        <v>1</v>
      </c>
      <c r="G22">
        <v>1</v>
      </c>
      <c r="I22">
        <v>0</v>
      </c>
      <c r="O22" t="str">
        <f>IF(dTestRatings[[#This Row],[Minimum Interval Value]]="","NonInterval","Interval")</f>
        <v>Interval</v>
      </c>
    </row>
    <row r="23" spans="1:15" hidden="1" x14ac:dyDescent="0.25">
      <c r="A23" t="s">
        <v>179</v>
      </c>
      <c r="B23" t="s">
        <v>178</v>
      </c>
      <c r="C23" t="s">
        <v>178</v>
      </c>
      <c r="D23">
        <v>2</v>
      </c>
      <c r="E23">
        <v>2</v>
      </c>
      <c r="G23">
        <v>2</v>
      </c>
      <c r="I23">
        <v>4</v>
      </c>
      <c r="O23" t="str">
        <f>IF(dTestRatings[[#This Row],[Minimum Interval Value]]="","NonInterval","Interval")</f>
        <v>Interval</v>
      </c>
    </row>
    <row r="24" spans="1:15" hidden="1" x14ac:dyDescent="0.25">
      <c r="A24" t="s">
        <v>179</v>
      </c>
      <c r="B24" t="s">
        <v>178</v>
      </c>
      <c r="C24" t="s">
        <v>178</v>
      </c>
      <c r="D24">
        <v>3</v>
      </c>
      <c r="E24">
        <v>3</v>
      </c>
      <c r="G24">
        <v>3</v>
      </c>
      <c r="I24">
        <v>6</v>
      </c>
      <c r="O24" t="str">
        <f>IF(dTestRatings[[#This Row],[Minimum Interval Value]]="","NonInterval","Interval")</f>
        <v>Interval</v>
      </c>
    </row>
    <row r="25" spans="1:15" hidden="1" x14ac:dyDescent="0.25">
      <c r="A25" t="s">
        <v>179</v>
      </c>
      <c r="B25" t="s">
        <v>178</v>
      </c>
      <c r="C25" t="s">
        <v>178</v>
      </c>
      <c r="D25">
        <v>4</v>
      </c>
      <c r="E25">
        <v>4</v>
      </c>
      <c r="G25">
        <v>4</v>
      </c>
      <c r="I25">
        <v>8</v>
      </c>
      <c r="O25" t="str">
        <f>IF(dTestRatings[[#This Row],[Minimum Interval Value]]="","NonInterval","Interval")</f>
        <v>Interval</v>
      </c>
    </row>
    <row r="26" spans="1:15" hidden="1" x14ac:dyDescent="0.25">
      <c r="A26" t="s">
        <v>179</v>
      </c>
      <c r="B26" t="s">
        <v>178</v>
      </c>
      <c r="C26" t="s">
        <v>178</v>
      </c>
      <c r="D26">
        <v>5</v>
      </c>
      <c r="E26">
        <v>5</v>
      </c>
      <c r="G26">
        <v>5</v>
      </c>
      <c r="I26">
        <v>10</v>
      </c>
      <c r="O26" t="str">
        <f>IF(dTestRatings[[#This Row],[Minimum Interval Value]]="","NonInterval","Interval")</f>
        <v>Interval</v>
      </c>
    </row>
    <row r="27" spans="1:15" x14ac:dyDescent="0.25">
      <c r="A27" t="s">
        <v>182</v>
      </c>
      <c r="B27" t="s">
        <v>181</v>
      </c>
      <c r="C27" t="s">
        <v>181</v>
      </c>
      <c r="D27">
        <v>0</v>
      </c>
      <c r="E27">
        <v>20</v>
      </c>
      <c r="G27">
        <v>1</v>
      </c>
      <c r="I27">
        <v>0</v>
      </c>
      <c r="O27" t="str">
        <f>IF(dTestRatings[[#This Row],[Minimum Interval Value]]="","NonInterval","Interval")</f>
        <v>Interval</v>
      </c>
    </row>
    <row r="28" spans="1:15" x14ac:dyDescent="0.25">
      <c r="A28" t="s">
        <v>182</v>
      </c>
      <c r="B28" t="s">
        <v>181</v>
      </c>
      <c r="C28" t="s">
        <v>181</v>
      </c>
      <c r="D28">
        <v>21</v>
      </c>
      <c r="E28">
        <v>40</v>
      </c>
      <c r="G28">
        <v>2</v>
      </c>
      <c r="I28">
        <v>4</v>
      </c>
      <c r="O28" t="str">
        <f>IF(dTestRatings[[#This Row],[Minimum Interval Value]]="","NonInterval","Interval")</f>
        <v>Interval</v>
      </c>
    </row>
    <row r="29" spans="1:15" x14ac:dyDescent="0.25">
      <c r="A29" t="s">
        <v>182</v>
      </c>
      <c r="B29" t="s">
        <v>181</v>
      </c>
      <c r="C29" t="s">
        <v>181</v>
      </c>
      <c r="D29">
        <v>41</v>
      </c>
      <c r="E29">
        <v>60</v>
      </c>
      <c r="G29">
        <v>3</v>
      </c>
      <c r="I29">
        <v>6</v>
      </c>
      <c r="O29" t="str">
        <f>IF(dTestRatings[[#This Row],[Minimum Interval Value]]="","NonInterval","Interval")</f>
        <v>Interval</v>
      </c>
    </row>
    <row r="30" spans="1:15" x14ac:dyDescent="0.25">
      <c r="A30" t="s">
        <v>182</v>
      </c>
      <c r="B30" t="s">
        <v>181</v>
      </c>
      <c r="C30" t="s">
        <v>181</v>
      </c>
      <c r="D30">
        <v>61</v>
      </c>
      <c r="E30">
        <v>80</v>
      </c>
      <c r="G30">
        <v>4</v>
      </c>
      <c r="I30">
        <v>8</v>
      </c>
      <c r="O30" t="str">
        <f>IF(dTestRatings[[#This Row],[Minimum Interval Value]]="","NonInterval","Interval")</f>
        <v>Interval</v>
      </c>
    </row>
    <row r="31" spans="1:15" x14ac:dyDescent="0.25">
      <c r="A31" t="s">
        <v>182</v>
      </c>
      <c r="B31" t="s">
        <v>181</v>
      </c>
      <c r="C31" t="s">
        <v>181</v>
      </c>
      <c r="D31">
        <v>81</v>
      </c>
      <c r="E31">
        <v>100</v>
      </c>
      <c r="G31">
        <v>5</v>
      </c>
      <c r="I31">
        <v>10</v>
      </c>
      <c r="O31" t="str">
        <f>IF(dTestRatings[[#This Row],[Minimum Interval Value]]="","NonInterval","Interval")</f>
        <v>Interval</v>
      </c>
    </row>
    <row r="32" spans="1:15" hidden="1" x14ac:dyDescent="0.25">
      <c r="A32" t="s">
        <v>186</v>
      </c>
      <c r="B32" t="s">
        <v>85</v>
      </c>
      <c r="C32" t="s">
        <v>292</v>
      </c>
      <c r="D32">
        <v>1</v>
      </c>
      <c r="E32">
        <v>1</v>
      </c>
      <c r="G32">
        <v>0</v>
      </c>
      <c r="I32">
        <v>0</v>
      </c>
      <c r="O32" t="str">
        <f>IF(dTestRatings[[#This Row],[Minimum Interval Value]]="","NonInterval","Interval")</f>
        <v>Interval</v>
      </c>
    </row>
    <row r="33" spans="1:15" hidden="1" x14ac:dyDescent="0.25">
      <c r="A33" t="s">
        <v>186</v>
      </c>
      <c r="B33" t="s">
        <v>85</v>
      </c>
      <c r="C33" t="s">
        <v>292</v>
      </c>
      <c r="D33">
        <v>2</v>
      </c>
      <c r="E33">
        <v>2</v>
      </c>
      <c r="G33">
        <v>2</v>
      </c>
      <c r="I33">
        <v>4</v>
      </c>
      <c r="O33" t="str">
        <f>IF(dTestRatings[[#This Row],[Minimum Interval Value]]="","NonInterval","Interval")</f>
        <v>Interval</v>
      </c>
    </row>
    <row r="34" spans="1:15" hidden="1" x14ac:dyDescent="0.25">
      <c r="A34" t="s">
        <v>186</v>
      </c>
      <c r="B34" t="s">
        <v>85</v>
      </c>
      <c r="C34" t="s">
        <v>292</v>
      </c>
      <c r="D34">
        <v>3</v>
      </c>
      <c r="E34">
        <v>3</v>
      </c>
      <c r="G34">
        <v>3</v>
      </c>
      <c r="I34">
        <v>6</v>
      </c>
      <c r="O34" t="str">
        <f>IF(dTestRatings[[#This Row],[Minimum Interval Value]]="","NonInterval","Interval")</f>
        <v>Interval</v>
      </c>
    </row>
    <row r="35" spans="1:15" hidden="1" x14ac:dyDescent="0.25">
      <c r="A35" t="s">
        <v>186</v>
      </c>
      <c r="B35" t="s">
        <v>85</v>
      </c>
      <c r="C35" t="s">
        <v>292</v>
      </c>
      <c r="D35">
        <v>4</v>
      </c>
      <c r="E35">
        <v>4</v>
      </c>
      <c r="G35">
        <v>4</v>
      </c>
      <c r="I35">
        <v>8</v>
      </c>
      <c r="O35" t="str">
        <f>IF(dTestRatings[[#This Row],[Minimum Interval Value]]="","NonInterval","Interval")</f>
        <v>Interval</v>
      </c>
    </row>
    <row r="36" spans="1:15" hidden="1" x14ac:dyDescent="0.25">
      <c r="A36" t="s">
        <v>186</v>
      </c>
      <c r="B36" t="s">
        <v>85</v>
      </c>
      <c r="C36" t="s">
        <v>292</v>
      </c>
      <c r="D36">
        <v>5</v>
      </c>
      <c r="E36">
        <v>5</v>
      </c>
      <c r="G36">
        <v>5</v>
      </c>
      <c r="I36">
        <v>10</v>
      </c>
      <c r="O36" t="str">
        <f>IF(dTestRatings[[#This Row],[Minimum Interval Value]]="","NonInterval","Interval")</f>
        <v>Interval</v>
      </c>
    </row>
    <row r="37" spans="1:15" hidden="1" x14ac:dyDescent="0.25">
      <c r="O37" t="str">
        <f>IF(dTestRatings[[#This Row],[Minimum Interval Value]]="","NonInterval","Interval")</f>
        <v>NonInterval</v>
      </c>
    </row>
    <row r="38" spans="1:15" hidden="1" x14ac:dyDescent="0.25">
      <c r="O38" t="str">
        <f>IF(dTestRatings[[#This Row],[Minimum Interval Value]]="","NonInterval","Interval")</f>
        <v>NonInterval</v>
      </c>
    </row>
    <row r="39" spans="1:15" hidden="1" x14ac:dyDescent="0.25">
      <c r="O39" t="str">
        <f>IF(dTestRatings[[#This Row],[Minimum Interval Value]]="","NonInterval","Interval")</f>
        <v>NonInterval</v>
      </c>
    </row>
    <row r="40" spans="1:15" hidden="1" x14ac:dyDescent="0.25">
      <c r="O40" t="str">
        <f>IF(dTestRatings[[#This Row],[Minimum Interval Value]]="","NonInterval","Interval")</f>
        <v>NonInterval</v>
      </c>
    </row>
    <row r="46" spans="1:15" x14ac:dyDescent="0.25">
      <c r="E46">
        <f>COUNTIFS(A27:A31,"A6",E27:E31,40)</f>
        <v>1</v>
      </c>
    </row>
  </sheetData>
  <phoneticPr fontId="2" type="noConversion"/>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Props1.xml><?xml version="1.0" encoding="utf-8"?>
<ds:datastoreItem xmlns:ds="http://schemas.openxmlformats.org/officeDocument/2006/customXml" ds:itemID="{95A7B4FC-4D8B-487C-A4DB-DC83FBFC805B}">
  <ds:schemaRefs/>
</ds:datastoreItem>
</file>

<file path=customXml/itemProps2.xml><?xml version="1.0" encoding="utf-8"?>
<ds:datastoreItem xmlns:ds="http://schemas.openxmlformats.org/officeDocument/2006/customXml" ds:itemID="{2C438D88-CC80-4238-AC28-B1F2D2B27AF9}">
  <ds:schemaRefs/>
</ds:datastoreItem>
</file>

<file path=customXml/itemProps3.xml><?xml version="1.0" encoding="utf-8"?>
<ds:datastoreItem xmlns:ds="http://schemas.openxmlformats.org/officeDocument/2006/customXml" ds:itemID="{E9E9A7CC-5B0A-475E-B899-CFEC1C959FF1}">
  <ds:schemaRefs/>
</ds:datastoreItem>
</file>

<file path=customXml/itemProps4.xml><?xml version="1.0" encoding="utf-8"?>
<ds:datastoreItem xmlns:ds="http://schemas.openxmlformats.org/officeDocument/2006/customXml" ds:itemID="{8A8FC677-5793-4735-A586-F4551F205D05}">
  <ds:schemaRefs/>
</ds:datastoreItem>
</file>

<file path=customXml/itemProps5.xml><?xml version="1.0" encoding="utf-8"?>
<ds:datastoreItem xmlns:ds="http://schemas.openxmlformats.org/officeDocument/2006/customXml" ds:itemID="{36CE54BA-01AB-4045-9EF7-799D60550954}">
  <ds:schemaRefs>
    <ds:schemaRef ds:uri="http://schemas.microsoft.com/DataMashup"/>
  </ds:schemaRefs>
</ds:datastoreItem>
</file>

<file path=customXml/itemProps6.xml><?xml version="1.0" encoding="utf-8"?>
<ds:datastoreItem xmlns:ds="http://schemas.openxmlformats.org/officeDocument/2006/customXml" ds:itemID="{47465059-A098-42E0-9B30-C310E5E7CE38}">
  <ds:schemaRefs/>
</ds:datastoreItem>
</file>

<file path=customXml/itemProps7.xml><?xml version="1.0" encoding="utf-8"?>
<ds:datastoreItem xmlns:ds="http://schemas.openxmlformats.org/officeDocument/2006/customXml" ds:itemID="{798C24D7-691A-4AC2-8FDF-8B815DFF170F}">
  <ds:schemaRefs/>
</ds:datastoreItem>
</file>

<file path=customXml/itemProps8.xml><?xml version="1.0" encoding="utf-8"?>
<ds:datastoreItem xmlns:ds="http://schemas.openxmlformats.org/officeDocument/2006/customXml" ds:itemID="{95786A6E-A815-4A58-A2D1-5F375DD50E90}">
  <ds:schemaRefs/>
</ds:datastoreItem>
</file>

<file path=customXml/itemProps9.xml><?xml version="1.0" encoding="utf-8"?>
<ds:datastoreItem xmlns:ds="http://schemas.openxmlformats.org/officeDocument/2006/customXml" ds:itemID="{B80F2337-E486-413C-9FDA-EF1EF89F1231}">
  <ds:schemaRefs/>
</ds:datastoreItem>
</file>

<file path=customXml/itemProps10.xml><?xml version="1.0" encoding="utf-8"?>
<ds:datastoreItem xmlns:ds="http://schemas.openxmlformats.org/officeDocument/2006/customXml" ds:itemID="{8A1F553A-D5FC-46F8-B3C5-8961FD9EE559}">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Home</vt:lpstr>
      <vt:lpstr>Products</vt:lpstr>
      <vt:lpstr>Testing</vt:lpstr>
      <vt:lpstr>BenchmarkGrid</vt:lpstr>
      <vt:lpstr>Data Validation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Victor Iancu</dc:creator>
  <cp:lastModifiedBy>Victor Iancu</cp:lastModifiedBy>
  <dcterms:created xsi:type="dcterms:W3CDTF">2025-01-22T21:09:10Z</dcterms:created>
  <dcterms:modified xsi:type="dcterms:W3CDTF">2026-10-06T02:41:41Z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3761870a-0c30-4f2e-b8ca-6d8be866efea</vt:lpwstr>
  </property>
  <property fmtid="{D5CDD505-2E9C-101B-9397-08002B2CF9AE}" pid="3" name="ConnectionInfosStorage">
    <vt:lpwstr>WorkbookXmlParts</vt:lpwstr>
  </property>
</Properties>
</file>